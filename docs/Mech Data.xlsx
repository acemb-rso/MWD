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FoundryData-Dev\Data\systems\mwd\docs\"/>
    </mc:Choice>
  </mc:AlternateContent>
  <xr:revisionPtr revIDLastSave="0" documentId="8_{C76E2C04-1E58-42E3-BA09-5DF256C5551D}" xr6:coauthVersionLast="47" xr6:coauthVersionMax="47" xr10:uidLastSave="{00000000-0000-0000-0000-000000000000}"/>
  <bookViews>
    <workbookView xWindow="25890" yWindow="1095" windowWidth="25440" windowHeight="19275" xr2:uid="{8D44F242-D0B2-4B9E-94CF-33F11494976A}"/>
  </bookViews>
  <sheets>
    <sheet name="Mechs" sheetId="1" r:id="rId1"/>
    <sheet name="Asset Modules" sheetId="2" r:id="rId2"/>
    <sheet name="Misc Tables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7" i="4" l="1"/>
  <c r="L18" i="4"/>
  <c r="L19" i="4"/>
  <c r="L20" i="4"/>
  <c r="L21" i="4"/>
  <c r="L22" i="4"/>
  <c r="L23" i="4"/>
  <c r="L24" i="4"/>
  <c r="L25" i="4"/>
  <c r="L26" i="4"/>
  <c r="L27" i="4"/>
  <c r="L16" i="4"/>
  <c r="G28" i="4"/>
  <c r="L5" i="4"/>
  <c r="L3" i="4"/>
  <c r="L4" i="4"/>
  <c r="L6" i="4"/>
  <c r="L7" i="4"/>
  <c r="L8" i="4"/>
  <c r="L9" i="4"/>
  <c r="L10" i="4"/>
  <c r="L11" i="4"/>
  <c r="L12" i="4"/>
  <c r="L13" i="4"/>
  <c r="L2" i="4"/>
  <c r="G14" i="4"/>
  <c r="K3" i="4"/>
  <c r="K4" i="4"/>
  <c r="K5" i="4"/>
  <c r="K6" i="4"/>
  <c r="K7" i="4"/>
  <c r="K8" i="4"/>
  <c r="K9" i="4"/>
  <c r="K10" i="4"/>
  <c r="K11" i="4"/>
  <c r="K12" i="4"/>
  <c r="K13" i="4"/>
  <c r="K16" i="4"/>
  <c r="K17" i="4"/>
  <c r="K18" i="4"/>
  <c r="K19" i="4"/>
  <c r="K20" i="4"/>
  <c r="K21" i="4"/>
  <c r="K22" i="4"/>
  <c r="K23" i="4"/>
  <c r="K24" i="4"/>
  <c r="K25" i="4"/>
  <c r="K26" i="4"/>
  <c r="K27" i="4"/>
  <c r="K30" i="4"/>
  <c r="K31" i="4"/>
  <c r="K32" i="4"/>
  <c r="K33" i="4"/>
  <c r="K34" i="4"/>
  <c r="K35" i="4"/>
  <c r="K36" i="4"/>
  <c r="K37" i="4"/>
  <c r="K38" i="4"/>
  <c r="K39" i="4"/>
  <c r="K40" i="4"/>
  <c r="K41" i="4"/>
  <c r="K44" i="4"/>
  <c r="K45" i="4"/>
  <c r="K46" i="4"/>
  <c r="K47" i="4"/>
  <c r="K48" i="4"/>
  <c r="K49" i="4"/>
  <c r="K50" i="4"/>
  <c r="K51" i="4"/>
  <c r="K52" i="4"/>
  <c r="K53" i="4"/>
  <c r="K54" i="4"/>
  <c r="K55" i="4"/>
  <c r="K2" i="4"/>
  <c r="T53" i="1"/>
  <c r="T40" i="1"/>
  <c r="T27" i="1"/>
  <c r="T28" i="1"/>
  <c r="U28" i="1"/>
  <c r="T14" i="1"/>
  <c r="U41" i="1"/>
  <c r="U15" i="1"/>
  <c r="U2" i="1"/>
  <c r="T37" i="1"/>
  <c r="T36" i="1"/>
  <c r="T35" i="1"/>
  <c r="T31" i="1"/>
  <c r="T47" i="1"/>
  <c r="T44" i="1"/>
  <c r="T45" i="1"/>
  <c r="T46" i="1"/>
  <c r="T48" i="1"/>
  <c r="T49" i="1"/>
  <c r="T50" i="1"/>
  <c r="T51" i="1"/>
  <c r="T52" i="1"/>
  <c r="T43" i="1"/>
  <c r="T29" i="1"/>
  <c r="T30" i="1"/>
  <c r="T32" i="1"/>
  <c r="T33" i="1"/>
  <c r="T34" i="1"/>
  <c r="T38" i="1"/>
  <c r="T39" i="1"/>
  <c r="T41" i="1"/>
  <c r="T42" i="1"/>
  <c r="T3" i="1"/>
  <c r="T4" i="1"/>
  <c r="T5" i="1"/>
  <c r="T6" i="1"/>
  <c r="T7" i="1"/>
  <c r="T8" i="1"/>
  <c r="T9" i="1"/>
  <c r="T10" i="1"/>
  <c r="T11" i="1"/>
  <c r="T12" i="1"/>
  <c r="T13" i="1"/>
  <c r="T15" i="1"/>
  <c r="T16" i="1"/>
  <c r="T17" i="1"/>
  <c r="T18" i="1"/>
  <c r="T19" i="1"/>
  <c r="T20" i="1"/>
  <c r="T21" i="1"/>
  <c r="T22" i="1"/>
  <c r="T23" i="1"/>
  <c r="T24" i="1"/>
  <c r="T25" i="1"/>
  <c r="T26" i="1"/>
  <c r="T2" i="1"/>
</calcChain>
</file>

<file path=xl/sharedStrings.xml><?xml version="1.0" encoding="utf-8"?>
<sst xmlns="http://schemas.openxmlformats.org/spreadsheetml/2006/main" count="324" uniqueCount="151">
  <si>
    <t>Chassis</t>
  </si>
  <si>
    <t>Weight Class</t>
  </si>
  <si>
    <t>Tonnage</t>
  </si>
  <si>
    <t>Movement</t>
  </si>
  <si>
    <t>Armor</t>
  </si>
  <si>
    <t>Structure</t>
  </si>
  <si>
    <t>Heat Dissipation</t>
  </si>
  <si>
    <t>Weapon Groups</t>
  </si>
  <si>
    <t>Model</t>
  </si>
  <si>
    <t>Designation</t>
  </si>
  <si>
    <t>LCT-1V</t>
  </si>
  <si>
    <t>Locust</t>
  </si>
  <si>
    <t>Light</t>
  </si>
  <si>
    <t>Quirk</t>
  </si>
  <si>
    <t>C-Bills</t>
  </si>
  <si>
    <t>Point Cost</t>
  </si>
  <si>
    <t>Tags</t>
  </si>
  <si>
    <t>Handling</t>
  </si>
  <si>
    <t>System</t>
  </si>
  <si>
    <t>Reliability</t>
  </si>
  <si>
    <t>STG-3R</t>
  </si>
  <si>
    <t>Stinger</t>
  </si>
  <si>
    <t>WSP-1A</t>
  </si>
  <si>
    <t>Wasp</t>
  </si>
  <si>
    <t>COM-2D</t>
  </si>
  <si>
    <t>Commando</t>
  </si>
  <si>
    <t>VLK-QA</t>
  </si>
  <si>
    <t>Valkyrie</t>
  </si>
  <si>
    <t>PXH-1</t>
  </si>
  <si>
    <t>Phoenix Hawk</t>
  </si>
  <si>
    <t>Medium</t>
  </si>
  <si>
    <t>GRF-1N</t>
  </si>
  <si>
    <t>Griffin</t>
  </si>
  <si>
    <t>Shadow Hawk</t>
  </si>
  <si>
    <t>WVR-6R</t>
  </si>
  <si>
    <t>Wolverine</t>
  </si>
  <si>
    <t>Hunchback</t>
  </si>
  <si>
    <t>Centurion</t>
  </si>
  <si>
    <t>CN9-D</t>
  </si>
  <si>
    <t>HBK-4G</t>
  </si>
  <si>
    <t>Hermes</t>
  </si>
  <si>
    <t>Javelin</t>
  </si>
  <si>
    <t>Spider</t>
  </si>
  <si>
    <t>Panther</t>
  </si>
  <si>
    <t>Raven</t>
  </si>
  <si>
    <t>Wolfhound</t>
  </si>
  <si>
    <t>HER-1S</t>
  </si>
  <si>
    <t>JVN-10P</t>
  </si>
  <si>
    <t>SDR-5D</t>
  </si>
  <si>
    <t>PNT-9R</t>
  </si>
  <si>
    <t>RVN-4L</t>
  </si>
  <si>
    <t>MON-66</t>
  </si>
  <si>
    <t>Mongoose</t>
  </si>
  <si>
    <t>CDA-2B</t>
  </si>
  <si>
    <t>Cicada</t>
  </si>
  <si>
    <t>VT-5S</t>
  </si>
  <si>
    <t>Vulcan</t>
  </si>
  <si>
    <t>Blackjack</t>
  </si>
  <si>
    <t>BJ-1</t>
  </si>
  <si>
    <t>VND-1R</t>
  </si>
  <si>
    <t>Vindicator</t>
  </si>
  <si>
    <t>Starslayer</t>
  </si>
  <si>
    <t>STY-2C-EC</t>
  </si>
  <si>
    <t>Mech Role</t>
  </si>
  <si>
    <t>Scout</t>
  </si>
  <si>
    <t>Brawler</t>
  </si>
  <si>
    <t>Skirmisher</t>
  </si>
  <si>
    <t>Fire Support</t>
  </si>
  <si>
    <t>Sniper</t>
  </si>
  <si>
    <t>Command</t>
  </si>
  <si>
    <t>Ambusher</t>
  </si>
  <si>
    <t>Striker</t>
  </si>
  <si>
    <t>Trooper</t>
  </si>
  <si>
    <t>Juggernaut</t>
  </si>
  <si>
    <t>Role</t>
  </si>
  <si>
    <t>WLF-2</t>
  </si>
  <si>
    <t>SHD-2D</t>
  </si>
  <si>
    <t>UZL-3S</t>
  </si>
  <si>
    <t>Uziel</t>
  </si>
  <si>
    <t>Drop Cost</t>
  </si>
  <si>
    <t>DRG-1N</t>
  </si>
  <si>
    <t>Dragon</t>
  </si>
  <si>
    <t>RFL-3N</t>
  </si>
  <si>
    <t>Rifleman</t>
  </si>
  <si>
    <t>TDR-5S</t>
  </si>
  <si>
    <t>Thunderbolt</t>
  </si>
  <si>
    <t>CPLT-C1</t>
  </si>
  <si>
    <t>Catapult</t>
  </si>
  <si>
    <t>ARC-2R</t>
  </si>
  <si>
    <t>Archer</t>
  </si>
  <si>
    <t>WHM-6R</t>
  </si>
  <si>
    <t>Warhammer</t>
  </si>
  <si>
    <t>MAD-3R</t>
  </si>
  <si>
    <t>Marauder</t>
  </si>
  <si>
    <t>AWS-8Q</t>
  </si>
  <si>
    <t>Awesome</t>
  </si>
  <si>
    <t>BLR-1G</t>
  </si>
  <si>
    <t>Battlemaster</t>
  </si>
  <si>
    <t>Heavy</t>
  </si>
  <si>
    <t>Assault</t>
  </si>
  <si>
    <t>CRD-3R</t>
  </si>
  <si>
    <t>Crusader</t>
  </si>
  <si>
    <t>Black Knight</t>
  </si>
  <si>
    <t>Grasshopper</t>
  </si>
  <si>
    <t>GHR-5H</t>
  </si>
  <si>
    <t>BL-6-KNT</t>
  </si>
  <si>
    <t>ON1-K</t>
  </si>
  <si>
    <t>Orion</t>
  </si>
  <si>
    <t>STK-3F</t>
  </si>
  <si>
    <t>Stalker</t>
  </si>
  <si>
    <t>GOL-1H</t>
  </si>
  <si>
    <t>Goliath</t>
  </si>
  <si>
    <t>HGN-732</t>
  </si>
  <si>
    <t>Highlander</t>
  </si>
  <si>
    <t>BNC-3M</t>
  </si>
  <si>
    <t>Banshee</t>
  </si>
  <si>
    <t>ANH-1A</t>
  </si>
  <si>
    <t>Annihilator</t>
  </si>
  <si>
    <t>AS7-D</t>
  </si>
  <si>
    <t>Atlas</t>
  </si>
  <si>
    <t>Devastator</t>
  </si>
  <si>
    <t>King Crab</t>
  </si>
  <si>
    <t>VTR-9K</t>
  </si>
  <si>
    <t>Victor</t>
  </si>
  <si>
    <t>MAL-1R</t>
  </si>
  <si>
    <t>Mauler</t>
  </si>
  <si>
    <t>DVS-2</t>
  </si>
  <si>
    <t>KGC-000</t>
  </si>
  <si>
    <t>AXM-1N</t>
  </si>
  <si>
    <t>Axman</t>
  </si>
  <si>
    <t>PVA</t>
  </si>
  <si>
    <t>Lance Roles</t>
  </si>
  <si>
    <t>Recon</t>
  </si>
  <si>
    <t>Strike</t>
  </si>
  <si>
    <t>Battle</t>
  </si>
  <si>
    <t>Breaching</t>
  </si>
  <si>
    <t>Raider</t>
  </si>
  <si>
    <t>Mech</t>
  </si>
  <si>
    <t>HND</t>
  </si>
  <si>
    <t>SYS</t>
  </si>
  <si>
    <t>REL</t>
  </si>
  <si>
    <t>CHS</t>
  </si>
  <si>
    <t>Struct</t>
  </si>
  <si>
    <t>Diss</t>
  </si>
  <si>
    <t>Thermal Profile</t>
  </si>
  <si>
    <t>0–4 / 5–7 / 8–10 / 11</t>
  </si>
  <si>
    <t>0–3 / 4–6 / 7–8 / 9</t>
  </si>
  <si>
    <t>0–2 / 3–4 / 5–6 / 7</t>
  </si>
  <si>
    <t>0–2 / 3–5 / 6–7 / 8</t>
  </si>
  <si>
    <t>0–1 / 2–4 / 5–6 / 7</t>
  </si>
  <si>
    <t>0–3 / 4–6 / 7–9 /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</si>
</sst>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_([$€-2]\ * #,##0_);_([$€-2]\ * \(#,##0\);_([$€-2]\ * &quot;-&quot;??_);_(@_)"/>
    <numFmt numFmtId="173" formatCode="_([$€-2]\ * #,##0_);_([$€-2]\ * \(#,##0\);_([$€-2]\ * &quot;-&quot;????_);_(@_)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168" fontId="0" fillId="0" borderId="0" xfId="0" applyNumberFormat="1"/>
    <xf numFmtId="0" fontId="0" fillId="0" borderId="0" xfId="0" applyAlignment="1">
      <alignment horizontal="center" vertical="center"/>
    </xf>
    <xf numFmtId="173" fontId="0" fillId="0" borderId="0" xfId="0" applyNumberFormat="1"/>
    <xf numFmtId="168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173" fontId="0" fillId="0" borderId="1" xfId="0" applyNumberFormat="1" applyBorder="1"/>
    <xf numFmtId="173" fontId="1" fillId="0" borderId="0" xfId="0" applyNumberFormat="1" applyFont="1"/>
    <xf numFmtId="168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FFFD4-FB15-4BD8-910B-EE32BF634ADE}">
  <dimension ref="A1:U53"/>
  <sheetViews>
    <sheetView tabSelected="1" workbookViewId="0">
      <selection activeCell="M50" sqref="M50"/>
    </sheetView>
  </sheetViews>
  <sheetFormatPr defaultRowHeight="15" x14ac:dyDescent="0.25"/>
  <cols>
    <col min="1" max="1" width="9.7109375" bestFit="1" customWidth="1"/>
    <col min="2" max="2" width="15.28515625" customWidth="1"/>
    <col min="3" max="3" width="12.28515625" bestFit="1" customWidth="1"/>
    <col min="4" max="4" width="8.5703125" bestFit="1" customWidth="1"/>
    <col min="5" max="5" width="11.5703125" bestFit="1" customWidth="1"/>
    <col min="6" max="6" width="10" bestFit="1" customWidth="1"/>
    <col min="7" max="7" width="6.42578125" bestFit="1" customWidth="1"/>
    <col min="9" max="9" width="15.7109375" bestFit="1" customWidth="1"/>
    <col min="10" max="10" width="22.140625" customWidth="1"/>
    <col min="11" max="11" width="15.28515625" bestFit="1" customWidth="1"/>
    <col min="16" max="16" width="9.7109375" bestFit="1" customWidth="1"/>
    <col min="17" max="17" width="16.7109375" style="3" bestFit="1" customWidth="1"/>
    <col min="18" max="18" width="9.140625" style="4"/>
    <col min="20" max="20" width="13.140625" bestFit="1" customWidth="1"/>
  </cols>
  <sheetData>
    <row r="1" spans="1:21" x14ac:dyDescent="0.25">
      <c r="A1" s="1" t="s">
        <v>8</v>
      </c>
      <c r="B1" s="1" t="s">
        <v>9</v>
      </c>
      <c r="C1" s="1" t="s">
        <v>1</v>
      </c>
      <c r="D1" s="1" t="s">
        <v>2</v>
      </c>
      <c r="E1" s="1" t="s">
        <v>74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144</v>
      </c>
      <c r="K1" s="1" t="s">
        <v>7</v>
      </c>
      <c r="L1" s="1" t="s">
        <v>13</v>
      </c>
      <c r="M1" s="1" t="s">
        <v>17</v>
      </c>
      <c r="N1" s="1" t="s">
        <v>18</v>
      </c>
      <c r="O1" s="1" t="s">
        <v>0</v>
      </c>
      <c r="P1" s="1" t="s">
        <v>19</v>
      </c>
      <c r="Q1" s="2" t="s">
        <v>14</v>
      </c>
      <c r="R1" s="4" t="s">
        <v>15</v>
      </c>
      <c r="S1" s="1" t="s">
        <v>16</v>
      </c>
      <c r="T1" s="1" t="s">
        <v>79</v>
      </c>
      <c r="U1" s="1" t="s">
        <v>130</v>
      </c>
    </row>
    <row r="2" spans="1:21" x14ac:dyDescent="0.25">
      <c r="A2" t="s">
        <v>10</v>
      </c>
      <c r="B2" t="s">
        <v>11</v>
      </c>
      <c r="C2" t="s">
        <v>12</v>
      </c>
      <c r="D2">
        <v>20</v>
      </c>
      <c r="E2" t="s">
        <v>64</v>
      </c>
      <c r="G2" s="15">
        <v>14</v>
      </c>
      <c r="H2" s="15">
        <v>7</v>
      </c>
      <c r="I2" s="13">
        <v>2</v>
      </c>
      <c r="J2" s="17" t="s">
        <v>147</v>
      </c>
      <c r="M2" s="15">
        <v>6</v>
      </c>
      <c r="N2" s="15">
        <v>2</v>
      </c>
      <c r="O2">
        <v>3</v>
      </c>
      <c r="P2" s="15">
        <v>2</v>
      </c>
      <c r="Q2" s="3">
        <v>1511200</v>
      </c>
      <c r="R2" s="4">
        <v>18</v>
      </c>
      <c r="T2" s="5">
        <f>Q2*0.0025</f>
        <v>3778</v>
      </c>
      <c r="U2">
        <f>AVERAGE(R2:R13)</f>
        <v>20.583333333333332</v>
      </c>
    </row>
    <row r="3" spans="1:21" x14ac:dyDescent="0.25">
      <c r="A3" t="s">
        <v>20</v>
      </c>
      <c r="B3" t="s">
        <v>21</v>
      </c>
      <c r="C3" t="s">
        <v>12</v>
      </c>
      <c r="D3">
        <v>20</v>
      </c>
      <c r="E3" t="s">
        <v>64</v>
      </c>
      <c r="G3" s="15">
        <v>15</v>
      </c>
      <c r="H3" s="15">
        <v>7</v>
      </c>
      <c r="I3" s="13">
        <v>3</v>
      </c>
      <c r="J3" s="17" t="s">
        <v>148</v>
      </c>
      <c r="M3" s="15">
        <v>5</v>
      </c>
      <c r="N3" s="15">
        <v>3</v>
      </c>
      <c r="O3">
        <v>3</v>
      </c>
      <c r="P3" s="15">
        <v>2</v>
      </c>
      <c r="Q3" s="3">
        <v>1614240</v>
      </c>
      <c r="R3" s="4">
        <v>14</v>
      </c>
      <c r="T3" s="5">
        <f t="shared" ref="T3:T52" si="0">Q3*0.0025</f>
        <v>4035.6</v>
      </c>
    </row>
    <row r="4" spans="1:21" x14ac:dyDescent="0.25">
      <c r="A4" t="s">
        <v>22</v>
      </c>
      <c r="B4" t="s">
        <v>23</v>
      </c>
      <c r="C4" t="s">
        <v>12</v>
      </c>
      <c r="D4">
        <v>20</v>
      </c>
      <c r="E4" t="s">
        <v>64</v>
      </c>
      <c r="G4" s="15">
        <v>17</v>
      </c>
      <c r="H4" s="15">
        <v>7</v>
      </c>
      <c r="I4" s="13">
        <v>3</v>
      </c>
      <c r="J4" s="17" t="s">
        <v>148</v>
      </c>
      <c r="M4" s="15">
        <v>5</v>
      </c>
      <c r="N4" s="15">
        <v>3</v>
      </c>
      <c r="O4">
        <v>3</v>
      </c>
      <c r="P4" s="15">
        <v>2</v>
      </c>
      <c r="Q4" s="3">
        <v>1612320</v>
      </c>
      <c r="R4" s="4">
        <v>14</v>
      </c>
      <c r="T4" s="5">
        <f t="shared" si="0"/>
        <v>4030.8</v>
      </c>
    </row>
    <row r="5" spans="1:21" x14ac:dyDescent="0.25">
      <c r="A5" t="s">
        <v>24</v>
      </c>
      <c r="B5" t="s">
        <v>25</v>
      </c>
      <c r="C5" t="s">
        <v>12</v>
      </c>
      <c r="D5">
        <v>25</v>
      </c>
      <c r="E5" t="s">
        <v>71</v>
      </c>
      <c r="G5" s="15">
        <v>19</v>
      </c>
      <c r="H5" s="15">
        <v>10</v>
      </c>
      <c r="I5" s="13">
        <v>3</v>
      </c>
      <c r="J5" s="17" t="s">
        <v>147</v>
      </c>
      <c r="M5" s="15">
        <v>5</v>
      </c>
      <c r="N5" s="15">
        <v>2</v>
      </c>
      <c r="O5">
        <v>3</v>
      </c>
      <c r="P5" s="15">
        <v>3</v>
      </c>
      <c r="Q5" s="3">
        <v>1823750</v>
      </c>
      <c r="R5" s="4">
        <v>17</v>
      </c>
      <c r="T5" s="5">
        <f t="shared" si="0"/>
        <v>4559.375</v>
      </c>
    </row>
    <row r="6" spans="1:21" x14ac:dyDescent="0.25">
      <c r="A6" t="s">
        <v>51</v>
      </c>
      <c r="B6" t="s">
        <v>52</v>
      </c>
      <c r="C6" t="s">
        <v>12</v>
      </c>
      <c r="D6">
        <v>25</v>
      </c>
      <c r="E6" t="s">
        <v>64</v>
      </c>
      <c r="G6" s="15">
        <v>16</v>
      </c>
      <c r="H6" s="15">
        <v>9</v>
      </c>
      <c r="I6" s="13">
        <v>3</v>
      </c>
      <c r="J6" s="17" t="s">
        <v>146</v>
      </c>
      <c r="M6" s="15">
        <v>6</v>
      </c>
      <c r="N6" s="15">
        <v>4</v>
      </c>
      <c r="O6">
        <v>3</v>
      </c>
      <c r="P6" s="15">
        <v>3</v>
      </c>
      <c r="Q6" s="3">
        <v>2229479</v>
      </c>
      <c r="R6" s="4">
        <v>30</v>
      </c>
      <c r="T6" s="5">
        <f t="shared" si="0"/>
        <v>5573.6975000000002</v>
      </c>
    </row>
    <row r="7" spans="1:21" x14ac:dyDescent="0.25">
      <c r="A7" t="s">
        <v>26</v>
      </c>
      <c r="B7" t="s">
        <v>27</v>
      </c>
      <c r="C7" t="s">
        <v>12</v>
      </c>
      <c r="D7">
        <v>30</v>
      </c>
      <c r="E7" t="s">
        <v>67</v>
      </c>
      <c r="G7" s="15">
        <v>21</v>
      </c>
      <c r="H7" s="15">
        <v>12</v>
      </c>
      <c r="I7" s="13">
        <v>3</v>
      </c>
      <c r="J7" s="17" t="s">
        <v>146</v>
      </c>
      <c r="M7" s="15">
        <v>4</v>
      </c>
      <c r="N7" s="15">
        <v>3</v>
      </c>
      <c r="O7">
        <v>3</v>
      </c>
      <c r="P7" s="15">
        <v>3</v>
      </c>
      <c r="Q7" s="3">
        <v>2166320</v>
      </c>
      <c r="R7" s="4">
        <v>22</v>
      </c>
      <c r="T7" s="5">
        <f t="shared" si="0"/>
        <v>5415.8</v>
      </c>
    </row>
    <row r="8" spans="1:21" x14ac:dyDescent="0.25">
      <c r="A8" t="s">
        <v>46</v>
      </c>
      <c r="B8" t="s">
        <v>40</v>
      </c>
      <c r="C8" t="s">
        <v>12</v>
      </c>
      <c r="D8">
        <v>30</v>
      </c>
      <c r="E8" t="s">
        <v>66</v>
      </c>
      <c r="G8" s="15">
        <v>14</v>
      </c>
      <c r="H8" s="15">
        <v>10</v>
      </c>
      <c r="I8" s="13">
        <v>3</v>
      </c>
      <c r="J8" s="17" t="s">
        <v>148</v>
      </c>
      <c r="M8" s="15">
        <v>6</v>
      </c>
      <c r="N8" s="15">
        <v>2</v>
      </c>
      <c r="O8">
        <v>3</v>
      </c>
      <c r="P8" s="15">
        <v>2</v>
      </c>
      <c r="Q8" s="3">
        <v>2701270</v>
      </c>
      <c r="R8" s="4">
        <v>25</v>
      </c>
      <c r="T8" s="5">
        <f t="shared" si="0"/>
        <v>6753.1750000000002</v>
      </c>
    </row>
    <row r="9" spans="1:21" x14ac:dyDescent="0.25">
      <c r="A9" t="s">
        <v>47</v>
      </c>
      <c r="B9" t="s">
        <v>41</v>
      </c>
      <c r="C9" t="s">
        <v>12</v>
      </c>
      <c r="D9">
        <v>30</v>
      </c>
      <c r="E9" t="s">
        <v>67</v>
      </c>
      <c r="G9" s="15">
        <v>18</v>
      </c>
      <c r="H9" s="15">
        <v>10</v>
      </c>
      <c r="I9" s="13">
        <v>2</v>
      </c>
      <c r="J9" s="17" t="s">
        <v>149</v>
      </c>
      <c r="M9" s="15">
        <v>5</v>
      </c>
      <c r="N9" s="15">
        <v>2</v>
      </c>
      <c r="O9">
        <v>3</v>
      </c>
      <c r="P9" s="15">
        <v>2</v>
      </c>
      <c r="Q9" s="3">
        <v>2265640</v>
      </c>
      <c r="R9" s="4">
        <v>19</v>
      </c>
      <c r="T9" s="5">
        <f t="shared" si="0"/>
        <v>5664.1</v>
      </c>
    </row>
    <row r="10" spans="1:21" x14ac:dyDescent="0.25">
      <c r="A10" t="s">
        <v>48</v>
      </c>
      <c r="B10" t="s">
        <v>42</v>
      </c>
      <c r="C10" t="s">
        <v>12</v>
      </c>
      <c r="D10">
        <v>30</v>
      </c>
      <c r="E10" t="s">
        <v>64</v>
      </c>
      <c r="G10" s="15">
        <v>15</v>
      </c>
      <c r="H10" s="15">
        <v>11</v>
      </c>
      <c r="I10" s="13">
        <v>3</v>
      </c>
      <c r="J10" s="17" t="s">
        <v>146</v>
      </c>
      <c r="M10" s="15">
        <v>6</v>
      </c>
      <c r="N10" s="15">
        <v>3</v>
      </c>
      <c r="O10">
        <v>3</v>
      </c>
      <c r="P10" s="15">
        <v>3</v>
      </c>
      <c r="Q10" s="3">
        <v>2942290</v>
      </c>
      <c r="R10" s="4">
        <v>21</v>
      </c>
      <c r="T10" s="5">
        <f t="shared" si="0"/>
        <v>7355.7250000000004</v>
      </c>
    </row>
    <row r="11" spans="1:21" x14ac:dyDescent="0.25">
      <c r="A11" t="s">
        <v>49</v>
      </c>
      <c r="B11" t="s">
        <v>43</v>
      </c>
      <c r="C11" t="s">
        <v>12</v>
      </c>
      <c r="D11">
        <v>35</v>
      </c>
      <c r="E11" t="s">
        <v>68</v>
      </c>
      <c r="G11" s="15">
        <v>22</v>
      </c>
      <c r="H11" s="15">
        <v>12</v>
      </c>
      <c r="I11" s="13">
        <v>4</v>
      </c>
      <c r="J11" s="17" t="s">
        <v>150</v>
      </c>
      <c r="M11" s="15">
        <v>3</v>
      </c>
      <c r="N11" s="15">
        <v>4</v>
      </c>
      <c r="O11">
        <v>3</v>
      </c>
      <c r="P11" s="15">
        <v>4</v>
      </c>
      <c r="Q11" s="3">
        <v>2449260</v>
      </c>
      <c r="R11" s="4">
        <v>19</v>
      </c>
      <c r="T11" s="5">
        <f t="shared" si="0"/>
        <v>6123.1500000000005</v>
      </c>
    </row>
    <row r="12" spans="1:21" x14ac:dyDescent="0.25">
      <c r="A12" t="s">
        <v>50</v>
      </c>
      <c r="B12" t="s">
        <v>44</v>
      </c>
      <c r="C12" t="s">
        <v>12</v>
      </c>
      <c r="D12">
        <v>35</v>
      </c>
      <c r="E12" t="s">
        <v>69</v>
      </c>
      <c r="G12" s="15">
        <v>20</v>
      </c>
      <c r="H12" s="15">
        <v>13</v>
      </c>
      <c r="I12" s="13">
        <v>3</v>
      </c>
      <c r="J12" s="17" t="s">
        <v>146</v>
      </c>
      <c r="M12" s="15">
        <v>4</v>
      </c>
      <c r="N12" s="15">
        <v>6</v>
      </c>
      <c r="O12">
        <v>3</v>
      </c>
      <c r="P12" s="15">
        <v>3</v>
      </c>
      <c r="Q12" s="3">
        <v>2514825</v>
      </c>
      <c r="R12" s="4">
        <v>24</v>
      </c>
      <c r="T12" s="5">
        <f t="shared" si="0"/>
        <v>6287.0625</v>
      </c>
    </row>
    <row r="13" spans="1:21" x14ac:dyDescent="0.25">
      <c r="A13" t="s">
        <v>75</v>
      </c>
      <c r="B13" t="s">
        <v>45</v>
      </c>
      <c r="C13" t="s">
        <v>12</v>
      </c>
      <c r="D13">
        <v>35</v>
      </c>
      <c r="E13" t="s">
        <v>65</v>
      </c>
      <c r="G13" s="15">
        <v>24</v>
      </c>
      <c r="H13" s="15">
        <v>14</v>
      </c>
      <c r="I13" s="13">
        <v>4</v>
      </c>
      <c r="J13" s="17" t="s">
        <v>145</v>
      </c>
      <c r="M13" s="15">
        <v>4</v>
      </c>
      <c r="N13" s="15">
        <v>4</v>
      </c>
      <c r="O13">
        <v>3</v>
      </c>
      <c r="P13" s="15">
        <v>5</v>
      </c>
      <c r="Q13" s="6">
        <v>2925180</v>
      </c>
      <c r="R13" s="7">
        <v>24</v>
      </c>
      <c r="S13" s="8"/>
      <c r="T13" s="9">
        <f t="shared" si="0"/>
        <v>7312.95</v>
      </c>
    </row>
    <row r="14" spans="1:21" x14ac:dyDescent="0.25">
      <c r="T14" s="10">
        <f>AVERAGE(Q2:Q13)</f>
        <v>2229647.8333333335</v>
      </c>
    </row>
    <row r="15" spans="1:21" x14ac:dyDescent="0.25">
      <c r="A15" t="s">
        <v>53</v>
      </c>
      <c r="B15" t="s">
        <v>54</v>
      </c>
      <c r="C15" t="s">
        <v>30</v>
      </c>
      <c r="D15">
        <v>40</v>
      </c>
      <c r="E15" t="s">
        <v>64</v>
      </c>
      <c r="G15" s="15">
        <v>15</v>
      </c>
      <c r="H15" s="15">
        <v>14</v>
      </c>
      <c r="I15" s="13">
        <v>3</v>
      </c>
      <c r="J15" s="15"/>
      <c r="M15" s="15">
        <v>6</v>
      </c>
      <c r="N15" s="15">
        <v>2</v>
      </c>
      <c r="O15">
        <v>4</v>
      </c>
      <c r="P15">
        <v>5</v>
      </c>
      <c r="Q15" s="3">
        <v>3692967</v>
      </c>
      <c r="R15" s="4">
        <v>22</v>
      </c>
      <c r="T15" s="5">
        <f t="shared" si="0"/>
        <v>9232.4174999999996</v>
      </c>
      <c r="U15">
        <f>AVERAGE(R15:R26)</f>
        <v>27.583333333333332</v>
      </c>
    </row>
    <row r="16" spans="1:21" x14ac:dyDescent="0.25">
      <c r="A16" t="s">
        <v>55</v>
      </c>
      <c r="B16" t="s">
        <v>56</v>
      </c>
      <c r="C16" t="s">
        <v>30</v>
      </c>
      <c r="D16">
        <v>40</v>
      </c>
      <c r="E16" t="s">
        <v>72</v>
      </c>
      <c r="G16" s="15">
        <v>20</v>
      </c>
      <c r="H16" s="15">
        <v>15</v>
      </c>
      <c r="I16" s="13">
        <v>3</v>
      </c>
      <c r="J16" s="15"/>
      <c r="M16" s="15">
        <v>5</v>
      </c>
      <c r="N16" s="15">
        <v>2</v>
      </c>
      <c r="O16">
        <v>4</v>
      </c>
      <c r="P16">
        <v>5</v>
      </c>
      <c r="Q16" s="3">
        <v>7135100</v>
      </c>
      <c r="R16" s="4">
        <v>29</v>
      </c>
      <c r="T16" s="5">
        <f t="shared" si="0"/>
        <v>17837.75</v>
      </c>
    </row>
    <row r="17" spans="1:21" x14ac:dyDescent="0.25">
      <c r="A17" t="s">
        <v>58</v>
      </c>
      <c r="B17" t="s">
        <v>57</v>
      </c>
      <c r="C17" t="s">
        <v>30</v>
      </c>
      <c r="D17">
        <v>45</v>
      </c>
      <c r="E17" t="s">
        <v>68</v>
      </c>
      <c r="G17" s="15">
        <v>25</v>
      </c>
      <c r="H17" s="15">
        <v>17</v>
      </c>
      <c r="I17" s="13">
        <v>2</v>
      </c>
      <c r="J17" s="15"/>
      <c r="M17" s="15">
        <v>3</v>
      </c>
      <c r="N17" s="15">
        <v>4</v>
      </c>
      <c r="O17">
        <v>4</v>
      </c>
      <c r="P17">
        <v>5</v>
      </c>
      <c r="Q17" s="3">
        <v>3145775</v>
      </c>
      <c r="R17" s="4">
        <v>26</v>
      </c>
      <c r="T17" s="5">
        <f t="shared" si="0"/>
        <v>7864.4375</v>
      </c>
    </row>
    <row r="18" spans="1:21" x14ac:dyDescent="0.25">
      <c r="A18" t="s">
        <v>28</v>
      </c>
      <c r="B18" t="s">
        <v>29</v>
      </c>
      <c r="C18" t="s">
        <v>30</v>
      </c>
      <c r="D18">
        <v>45</v>
      </c>
      <c r="E18" t="s">
        <v>64</v>
      </c>
      <c r="G18" s="15">
        <v>25</v>
      </c>
      <c r="H18" s="15">
        <v>17</v>
      </c>
      <c r="I18" s="13">
        <v>4</v>
      </c>
      <c r="J18" s="15"/>
      <c r="M18" s="15">
        <v>6</v>
      </c>
      <c r="N18" s="15">
        <v>4</v>
      </c>
      <c r="O18">
        <v>4</v>
      </c>
      <c r="P18">
        <v>5</v>
      </c>
      <c r="Q18" s="3">
        <v>4066090</v>
      </c>
      <c r="R18" s="4">
        <v>26</v>
      </c>
      <c r="T18" s="5">
        <f t="shared" si="0"/>
        <v>10165.225</v>
      </c>
    </row>
    <row r="19" spans="1:21" x14ac:dyDescent="0.25">
      <c r="A19" t="s">
        <v>59</v>
      </c>
      <c r="B19" t="s">
        <v>60</v>
      </c>
      <c r="C19" t="s">
        <v>30</v>
      </c>
      <c r="D19">
        <v>45</v>
      </c>
      <c r="E19" t="s">
        <v>65</v>
      </c>
      <c r="G19" s="15">
        <v>28</v>
      </c>
      <c r="H19" s="15">
        <v>18</v>
      </c>
      <c r="I19" s="13">
        <v>5</v>
      </c>
      <c r="J19" s="15"/>
      <c r="M19" s="15">
        <v>4</v>
      </c>
      <c r="N19" s="15">
        <v>4</v>
      </c>
      <c r="O19">
        <v>4</v>
      </c>
      <c r="P19">
        <v>5</v>
      </c>
      <c r="Q19" s="3">
        <v>3137583</v>
      </c>
      <c r="R19" s="4">
        <v>27</v>
      </c>
      <c r="T19" s="5">
        <f t="shared" si="0"/>
        <v>7843.9575000000004</v>
      </c>
    </row>
    <row r="20" spans="1:21" x14ac:dyDescent="0.25">
      <c r="A20" t="s">
        <v>38</v>
      </c>
      <c r="B20" t="s">
        <v>37</v>
      </c>
      <c r="C20" t="s">
        <v>30</v>
      </c>
      <c r="D20">
        <v>50</v>
      </c>
      <c r="E20" t="s">
        <v>72</v>
      </c>
      <c r="G20" s="15">
        <v>33</v>
      </c>
      <c r="H20" s="15">
        <v>20</v>
      </c>
      <c r="I20" s="13">
        <v>3</v>
      </c>
      <c r="J20" s="15"/>
      <c r="M20" s="15">
        <v>4</v>
      </c>
      <c r="N20" s="15">
        <v>3</v>
      </c>
      <c r="O20">
        <v>4</v>
      </c>
      <c r="P20">
        <v>5</v>
      </c>
      <c r="Q20" s="3">
        <v>9448500</v>
      </c>
      <c r="R20" s="4">
        <v>28</v>
      </c>
      <c r="T20" s="5">
        <f t="shared" si="0"/>
        <v>23621.25</v>
      </c>
    </row>
    <row r="21" spans="1:21" x14ac:dyDescent="0.25">
      <c r="A21" t="s">
        <v>39</v>
      </c>
      <c r="B21" t="s">
        <v>36</v>
      </c>
      <c r="C21" t="s">
        <v>30</v>
      </c>
      <c r="D21">
        <v>50</v>
      </c>
      <c r="E21" t="s">
        <v>73</v>
      </c>
      <c r="G21" s="15">
        <v>38</v>
      </c>
      <c r="H21" s="15">
        <v>22</v>
      </c>
      <c r="I21" s="13">
        <v>3</v>
      </c>
      <c r="J21" s="15"/>
      <c r="M21" s="15">
        <v>3</v>
      </c>
      <c r="N21" s="15">
        <v>2</v>
      </c>
      <c r="O21">
        <v>4</v>
      </c>
      <c r="P21">
        <v>5</v>
      </c>
      <c r="Q21" s="3">
        <v>3437875</v>
      </c>
      <c r="R21" s="4">
        <v>28</v>
      </c>
      <c r="T21" s="5">
        <f t="shared" si="0"/>
        <v>8594.6875</v>
      </c>
    </row>
    <row r="22" spans="1:21" x14ac:dyDescent="0.25">
      <c r="A22" t="s">
        <v>62</v>
      </c>
      <c r="B22" t="s">
        <v>61</v>
      </c>
      <c r="C22" t="s">
        <v>30</v>
      </c>
      <c r="D22">
        <v>50</v>
      </c>
      <c r="E22" t="s">
        <v>66</v>
      </c>
      <c r="G22" s="15">
        <v>27</v>
      </c>
      <c r="H22" s="15">
        <v>18</v>
      </c>
      <c r="I22" s="13">
        <v>4</v>
      </c>
      <c r="J22" s="15"/>
      <c r="M22" s="15">
        <v>5</v>
      </c>
      <c r="N22" s="15">
        <v>5</v>
      </c>
      <c r="O22">
        <v>4</v>
      </c>
      <c r="P22">
        <v>5</v>
      </c>
      <c r="Q22" s="3">
        <v>4908125</v>
      </c>
      <c r="R22" s="4">
        <v>30</v>
      </c>
      <c r="T22" s="5">
        <f t="shared" si="0"/>
        <v>12270.3125</v>
      </c>
    </row>
    <row r="23" spans="1:21" x14ac:dyDescent="0.25">
      <c r="A23" t="s">
        <v>77</v>
      </c>
      <c r="B23" t="s">
        <v>78</v>
      </c>
      <c r="C23" t="s">
        <v>30</v>
      </c>
      <c r="D23">
        <v>50</v>
      </c>
      <c r="E23" t="s">
        <v>71</v>
      </c>
      <c r="G23" s="15">
        <v>29</v>
      </c>
      <c r="H23" s="15">
        <v>18</v>
      </c>
      <c r="I23" s="13">
        <v>5</v>
      </c>
      <c r="J23" s="15"/>
      <c r="M23" s="15">
        <v>5</v>
      </c>
      <c r="N23" s="15">
        <v>5</v>
      </c>
      <c r="O23">
        <v>4</v>
      </c>
      <c r="P23">
        <v>5</v>
      </c>
      <c r="Q23" s="3">
        <v>9740250</v>
      </c>
      <c r="R23" s="4">
        <v>28</v>
      </c>
      <c r="T23" s="5">
        <f t="shared" si="0"/>
        <v>24350.625</v>
      </c>
    </row>
    <row r="24" spans="1:21" x14ac:dyDescent="0.25">
      <c r="A24" t="s">
        <v>31</v>
      </c>
      <c r="B24" t="s">
        <v>32</v>
      </c>
      <c r="C24" t="s">
        <v>30</v>
      </c>
      <c r="D24">
        <v>55</v>
      </c>
      <c r="E24" t="s">
        <v>68</v>
      </c>
      <c r="G24" s="15">
        <v>29</v>
      </c>
      <c r="H24" s="15">
        <v>21</v>
      </c>
      <c r="I24" s="13">
        <v>4</v>
      </c>
      <c r="J24" s="15"/>
      <c r="M24" s="15">
        <v>4</v>
      </c>
      <c r="N24" s="15">
        <v>4</v>
      </c>
      <c r="O24">
        <v>4</v>
      </c>
      <c r="P24">
        <v>5</v>
      </c>
      <c r="Q24" s="3">
        <v>4864107</v>
      </c>
      <c r="R24" s="4">
        <v>31</v>
      </c>
      <c r="T24" s="5">
        <f t="shared" si="0"/>
        <v>12160.2675</v>
      </c>
    </row>
    <row r="25" spans="1:21" x14ac:dyDescent="0.25">
      <c r="A25" t="s">
        <v>76</v>
      </c>
      <c r="B25" t="s">
        <v>33</v>
      </c>
      <c r="C25" t="s">
        <v>30</v>
      </c>
      <c r="D25">
        <v>55</v>
      </c>
      <c r="E25" t="s">
        <v>71</v>
      </c>
      <c r="G25" s="15">
        <v>31</v>
      </c>
      <c r="H25" s="15">
        <v>21</v>
      </c>
      <c r="I25" s="13">
        <v>3</v>
      </c>
      <c r="J25" s="15"/>
      <c r="M25" s="15">
        <v>5</v>
      </c>
      <c r="N25" s="15">
        <v>4</v>
      </c>
      <c r="O25">
        <v>4</v>
      </c>
      <c r="P25">
        <v>5</v>
      </c>
      <c r="Q25" s="3">
        <v>4450257</v>
      </c>
      <c r="R25" s="4">
        <v>26</v>
      </c>
      <c r="T25" s="5">
        <f t="shared" si="0"/>
        <v>11125.6425</v>
      </c>
    </row>
    <row r="26" spans="1:21" x14ac:dyDescent="0.25">
      <c r="A26" t="s">
        <v>34</v>
      </c>
      <c r="B26" t="s">
        <v>35</v>
      </c>
      <c r="C26" t="s">
        <v>30</v>
      </c>
      <c r="D26">
        <v>55</v>
      </c>
      <c r="E26" t="s">
        <v>66</v>
      </c>
      <c r="G26" s="15">
        <v>30</v>
      </c>
      <c r="H26" s="15">
        <v>21</v>
      </c>
      <c r="I26" s="13">
        <v>5</v>
      </c>
      <c r="J26" s="15"/>
      <c r="M26" s="15">
        <v>5</v>
      </c>
      <c r="N26" s="15">
        <v>4</v>
      </c>
      <c r="O26">
        <v>4</v>
      </c>
      <c r="P26">
        <v>5</v>
      </c>
      <c r="Q26" s="6">
        <v>4778857</v>
      </c>
      <c r="R26" s="7">
        <v>30</v>
      </c>
      <c r="S26" s="8"/>
      <c r="T26" s="9">
        <f t="shared" si="0"/>
        <v>11947.1425</v>
      </c>
    </row>
    <row r="27" spans="1:21" x14ac:dyDescent="0.25">
      <c r="T27" s="10">
        <f>AVERAGE(Q15:Q26)</f>
        <v>5233790.5</v>
      </c>
    </row>
    <row r="28" spans="1:21" x14ac:dyDescent="0.25">
      <c r="A28" t="s">
        <v>100</v>
      </c>
      <c r="B28" t="s">
        <v>101</v>
      </c>
      <c r="C28" t="s">
        <v>98</v>
      </c>
      <c r="D28">
        <v>60</v>
      </c>
      <c r="E28" t="s">
        <v>72</v>
      </c>
      <c r="G28" s="15">
        <v>36</v>
      </c>
      <c r="I28" s="13">
        <v>3</v>
      </c>
      <c r="J28" s="15"/>
      <c r="M28" s="15">
        <v>3</v>
      </c>
      <c r="N28" s="15">
        <v>3</v>
      </c>
      <c r="O28">
        <v>5</v>
      </c>
      <c r="P28">
        <v>5</v>
      </c>
      <c r="Q28" s="3">
        <v>5686010</v>
      </c>
      <c r="R28" s="4">
        <v>32</v>
      </c>
      <c r="T28" s="5">
        <f t="shared" si="0"/>
        <v>14215.025</v>
      </c>
      <c r="U28">
        <f>AVERAGE(R28:R39)</f>
        <v>33.75</v>
      </c>
    </row>
    <row r="29" spans="1:21" x14ac:dyDescent="0.25">
      <c r="A29" t="s">
        <v>80</v>
      </c>
      <c r="B29" t="s">
        <v>81</v>
      </c>
      <c r="C29" t="s">
        <v>98</v>
      </c>
      <c r="D29">
        <v>60</v>
      </c>
      <c r="E29" t="s">
        <v>65</v>
      </c>
      <c r="G29" s="15">
        <v>35</v>
      </c>
      <c r="I29" s="13">
        <v>3</v>
      </c>
      <c r="J29" s="15"/>
      <c r="M29" s="15">
        <v>5</v>
      </c>
      <c r="N29" s="15">
        <v>2</v>
      </c>
      <c r="O29">
        <v>5</v>
      </c>
      <c r="P29">
        <v>5</v>
      </c>
      <c r="Q29" s="3">
        <v>4934080</v>
      </c>
      <c r="R29" s="4">
        <v>32</v>
      </c>
      <c r="T29" s="5">
        <f t="shared" si="0"/>
        <v>12335.2</v>
      </c>
    </row>
    <row r="30" spans="1:21" x14ac:dyDescent="0.25">
      <c r="A30" t="s">
        <v>82</v>
      </c>
      <c r="B30" t="s">
        <v>83</v>
      </c>
      <c r="C30" t="s">
        <v>98</v>
      </c>
      <c r="D30">
        <v>60</v>
      </c>
      <c r="E30" t="s">
        <v>67</v>
      </c>
      <c r="G30" s="15">
        <v>30</v>
      </c>
      <c r="I30" s="13">
        <v>3</v>
      </c>
      <c r="J30" s="15"/>
      <c r="M30" s="15">
        <v>3</v>
      </c>
      <c r="N30" s="15">
        <v>5</v>
      </c>
      <c r="O30">
        <v>5</v>
      </c>
      <c r="P30">
        <v>5</v>
      </c>
      <c r="Q30" s="3">
        <v>4852800</v>
      </c>
      <c r="R30" s="4">
        <v>26</v>
      </c>
      <c r="T30" s="5">
        <f t="shared" si="0"/>
        <v>12132</v>
      </c>
    </row>
    <row r="31" spans="1:21" x14ac:dyDescent="0.25">
      <c r="A31" t="s">
        <v>128</v>
      </c>
      <c r="B31" t="s">
        <v>129</v>
      </c>
      <c r="C31" t="s">
        <v>98</v>
      </c>
      <c r="D31">
        <v>65</v>
      </c>
      <c r="E31" t="s">
        <v>66</v>
      </c>
      <c r="G31" s="15">
        <v>41</v>
      </c>
      <c r="I31" s="13">
        <v>3</v>
      </c>
      <c r="J31" s="15"/>
      <c r="M31" s="15">
        <v>4</v>
      </c>
      <c r="N31" s="15">
        <v>2</v>
      </c>
      <c r="O31">
        <v>5</v>
      </c>
      <c r="P31">
        <v>5</v>
      </c>
      <c r="Q31" s="3">
        <v>11840510</v>
      </c>
      <c r="R31" s="4">
        <v>33</v>
      </c>
      <c r="T31" s="5">
        <f t="shared" si="0"/>
        <v>29601.275000000001</v>
      </c>
    </row>
    <row r="32" spans="1:21" x14ac:dyDescent="0.25">
      <c r="A32" t="s">
        <v>84</v>
      </c>
      <c r="B32" t="s">
        <v>85</v>
      </c>
      <c r="C32" t="s">
        <v>98</v>
      </c>
      <c r="D32">
        <v>65</v>
      </c>
      <c r="E32" t="s">
        <v>65</v>
      </c>
      <c r="G32" s="15">
        <v>44</v>
      </c>
      <c r="I32" s="13">
        <v>4</v>
      </c>
      <c r="J32" s="15"/>
      <c r="M32" s="15">
        <v>3</v>
      </c>
      <c r="N32" s="15">
        <v>3</v>
      </c>
      <c r="O32">
        <v>5</v>
      </c>
      <c r="P32">
        <v>5</v>
      </c>
      <c r="Q32" s="3">
        <v>5268560</v>
      </c>
      <c r="R32" s="4">
        <v>36</v>
      </c>
      <c r="T32" s="5">
        <f t="shared" si="0"/>
        <v>13171.4</v>
      </c>
    </row>
    <row r="33" spans="1:21" x14ac:dyDescent="0.25">
      <c r="A33" t="s">
        <v>86</v>
      </c>
      <c r="B33" t="s">
        <v>87</v>
      </c>
      <c r="C33" t="s">
        <v>98</v>
      </c>
      <c r="D33">
        <v>65</v>
      </c>
      <c r="E33" t="s">
        <v>67</v>
      </c>
      <c r="G33" s="15">
        <v>36</v>
      </c>
      <c r="I33" s="13">
        <v>4</v>
      </c>
      <c r="J33" s="15"/>
      <c r="M33" s="15">
        <v>3</v>
      </c>
      <c r="N33" s="15">
        <v>4</v>
      </c>
      <c r="O33">
        <v>5</v>
      </c>
      <c r="P33">
        <v>5</v>
      </c>
      <c r="Q33" s="3">
        <v>5691125</v>
      </c>
      <c r="R33" s="4">
        <v>32</v>
      </c>
      <c r="T33" s="5">
        <f t="shared" si="0"/>
        <v>14227.8125</v>
      </c>
    </row>
    <row r="34" spans="1:21" x14ac:dyDescent="0.25">
      <c r="A34" t="s">
        <v>88</v>
      </c>
      <c r="B34" t="s">
        <v>89</v>
      </c>
      <c r="C34" t="s">
        <v>98</v>
      </c>
      <c r="D34">
        <v>70</v>
      </c>
      <c r="E34" t="s">
        <v>72</v>
      </c>
      <c r="G34" s="15">
        <v>41</v>
      </c>
      <c r="I34" s="13">
        <v>4</v>
      </c>
      <c r="J34" s="15"/>
      <c r="M34" s="15">
        <v>3</v>
      </c>
      <c r="N34" s="15">
        <v>4</v>
      </c>
      <c r="O34">
        <v>5</v>
      </c>
      <c r="P34">
        <v>5</v>
      </c>
      <c r="Q34" s="3">
        <v>6180973</v>
      </c>
      <c r="R34" s="4">
        <v>39</v>
      </c>
      <c r="T34" s="5">
        <f t="shared" si="0"/>
        <v>15452.432500000001</v>
      </c>
    </row>
    <row r="35" spans="1:21" x14ac:dyDescent="0.25">
      <c r="A35" t="s">
        <v>104</v>
      </c>
      <c r="B35" t="s">
        <v>103</v>
      </c>
      <c r="C35" t="s">
        <v>98</v>
      </c>
      <c r="D35">
        <v>70</v>
      </c>
      <c r="E35" t="s">
        <v>71</v>
      </c>
      <c r="G35" s="15">
        <v>42</v>
      </c>
      <c r="I35" s="13">
        <v>5</v>
      </c>
      <c r="J35" s="15"/>
      <c r="M35" s="15">
        <v>5</v>
      </c>
      <c r="N35" s="15">
        <v>4</v>
      </c>
      <c r="O35">
        <v>5</v>
      </c>
      <c r="P35">
        <v>5</v>
      </c>
      <c r="Q35" s="3">
        <v>6024573</v>
      </c>
      <c r="R35" s="4">
        <v>37</v>
      </c>
      <c r="T35" s="5">
        <f t="shared" si="0"/>
        <v>15061.432500000001</v>
      </c>
    </row>
    <row r="36" spans="1:21" x14ac:dyDescent="0.25">
      <c r="A36" t="s">
        <v>90</v>
      </c>
      <c r="B36" t="s">
        <v>91</v>
      </c>
      <c r="C36" t="s">
        <v>98</v>
      </c>
      <c r="D36">
        <v>70</v>
      </c>
      <c r="E36" t="s">
        <v>72</v>
      </c>
      <c r="G36" s="15">
        <v>44</v>
      </c>
      <c r="I36" s="13">
        <v>5</v>
      </c>
      <c r="J36" s="15"/>
      <c r="M36" s="15">
        <v>3</v>
      </c>
      <c r="N36" s="15">
        <v>5</v>
      </c>
      <c r="O36">
        <v>5</v>
      </c>
      <c r="P36">
        <v>5</v>
      </c>
      <c r="Q36" s="3">
        <v>6070983</v>
      </c>
      <c r="R36" s="4">
        <v>32</v>
      </c>
      <c r="T36" s="5">
        <f t="shared" si="0"/>
        <v>15177.4575</v>
      </c>
    </row>
    <row r="37" spans="1:21" x14ac:dyDescent="0.25">
      <c r="A37" t="s">
        <v>105</v>
      </c>
      <c r="B37" t="s">
        <v>102</v>
      </c>
      <c r="C37" t="s">
        <v>98</v>
      </c>
      <c r="D37">
        <v>75</v>
      </c>
      <c r="E37" t="s">
        <v>69</v>
      </c>
      <c r="G37" s="15">
        <v>49</v>
      </c>
      <c r="I37" s="13">
        <v>5</v>
      </c>
      <c r="J37" s="15"/>
      <c r="M37" s="15">
        <v>3</v>
      </c>
      <c r="N37" s="15">
        <v>5</v>
      </c>
      <c r="O37">
        <v>5</v>
      </c>
      <c r="P37">
        <v>5</v>
      </c>
      <c r="Q37" s="3">
        <v>7136938</v>
      </c>
      <c r="R37" s="4">
        <v>39</v>
      </c>
      <c r="T37" s="5">
        <f t="shared" si="0"/>
        <v>17842.345000000001</v>
      </c>
    </row>
    <row r="38" spans="1:21" x14ac:dyDescent="0.25">
      <c r="A38" t="s">
        <v>92</v>
      </c>
      <c r="B38" t="s">
        <v>93</v>
      </c>
      <c r="C38" t="s">
        <v>98</v>
      </c>
      <c r="D38">
        <v>75</v>
      </c>
      <c r="E38" t="s">
        <v>71</v>
      </c>
      <c r="G38" s="15">
        <v>41</v>
      </c>
      <c r="I38" s="13">
        <v>4</v>
      </c>
      <c r="J38" s="15"/>
      <c r="M38" s="15">
        <v>4</v>
      </c>
      <c r="N38" s="15">
        <v>5</v>
      </c>
      <c r="O38">
        <v>5</v>
      </c>
      <c r="P38">
        <v>5</v>
      </c>
      <c r="Q38" s="3">
        <v>6023383</v>
      </c>
      <c r="R38" s="4">
        <v>32</v>
      </c>
      <c r="T38" s="5">
        <f t="shared" si="0"/>
        <v>15058.4575</v>
      </c>
    </row>
    <row r="39" spans="1:21" x14ac:dyDescent="0.25">
      <c r="A39" t="s">
        <v>106</v>
      </c>
      <c r="B39" t="s">
        <v>107</v>
      </c>
      <c r="C39" t="s">
        <v>98</v>
      </c>
      <c r="D39">
        <v>75</v>
      </c>
      <c r="E39" t="s">
        <v>72</v>
      </c>
      <c r="G39" s="15">
        <v>42</v>
      </c>
      <c r="I39" s="13">
        <v>4</v>
      </c>
      <c r="J39" s="15"/>
      <c r="M39" s="15">
        <v>3</v>
      </c>
      <c r="N39" s="15">
        <v>3</v>
      </c>
      <c r="O39">
        <v>5</v>
      </c>
      <c r="P39">
        <v>5</v>
      </c>
      <c r="Q39" s="6">
        <v>6627250</v>
      </c>
      <c r="R39" s="7">
        <v>35</v>
      </c>
      <c r="S39" s="8"/>
      <c r="T39" s="9">
        <f t="shared" si="0"/>
        <v>16568.125</v>
      </c>
    </row>
    <row r="40" spans="1:21" x14ac:dyDescent="0.25">
      <c r="T40" s="10">
        <f>AVERAGE(Q28:Q39)</f>
        <v>6361432.083333333</v>
      </c>
    </row>
    <row r="41" spans="1:21" x14ac:dyDescent="0.25">
      <c r="A41" t="s">
        <v>94</v>
      </c>
      <c r="B41" t="s">
        <v>95</v>
      </c>
      <c r="C41" t="s">
        <v>99</v>
      </c>
      <c r="D41">
        <v>80</v>
      </c>
      <c r="E41" t="s">
        <v>72</v>
      </c>
      <c r="G41" s="15">
        <v>51</v>
      </c>
      <c r="I41" s="13">
        <v>5</v>
      </c>
      <c r="J41" s="15"/>
      <c r="M41" s="15">
        <v>2</v>
      </c>
      <c r="N41" s="15">
        <v>4</v>
      </c>
      <c r="O41">
        <v>6</v>
      </c>
      <c r="P41">
        <v>5</v>
      </c>
      <c r="Q41" s="3">
        <v>6598170</v>
      </c>
      <c r="R41" s="4">
        <v>39</v>
      </c>
      <c r="T41" s="5">
        <f t="shared" si="0"/>
        <v>16495.424999999999</v>
      </c>
      <c r="U41">
        <f>AVERAGE(R41:R52)</f>
        <v>42.166666666666664</v>
      </c>
    </row>
    <row r="42" spans="1:21" x14ac:dyDescent="0.25">
      <c r="A42" t="s">
        <v>110</v>
      </c>
      <c r="B42" t="s">
        <v>111</v>
      </c>
      <c r="C42" t="s">
        <v>99</v>
      </c>
      <c r="D42">
        <v>80</v>
      </c>
      <c r="E42" t="s">
        <v>68</v>
      </c>
      <c r="G42" s="15">
        <v>42</v>
      </c>
      <c r="I42" s="13">
        <v>4</v>
      </c>
      <c r="J42" s="15"/>
      <c r="M42" s="15">
        <v>3</v>
      </c>
      <c r="N42" s="15">
        <v>3</v>
      </c>
      <c r="O42">
        <v>6</v>
      </c>
      <c r="P42">
        <v>5</v>
      </c>
      <c r="Q42" s="3">
        <v>7651200</v>
      </c>
      <c r="R42" s="4">
        <v>39</v>
      </c>
      <c r="T42" s="5">
        <f t="shared" si="0"/>
        <v>19128</v>
      </c>
    </row>
    <row r="43" spans="1:21" x14ac:dyDescent="0.25">
      <c r="A43" t="s">
        <v>122</v>
      </c>
      <c r="B43" t="s">
        <v>123</v>
      </c>
      <c r="C43" t="s">
        <v>99</v>
      </c>
      <c r="D43">
        <v>80</v>
      </c>
      <c r="E43" t="s">
        <v>66</v>
      </c>
      <c r="G43" s="15">
        <v>36</v>
      </c>
      <c r="I43" s="13">
        <v>4</v>
      </c>
      <c r="J43" s="15"/>
      <c r="M43" s="15">
        <v>5</v>
      </c>
      <c r="N43" s="15">
        <v>3</v>
      </c>
      <c r="O43">
        <v>6</v>
      </c>
      <c r="P43">
        <v>5</v>
      </c>
      <c r="Q43" s="3">
        <v>8512320</v>
      </c>
      <c r="R43" s="4">
        <v>40</v>
      </c>
      <c r="T43" s="5">
        <f t="shared" si="0"/>
        <v>21280.799999999999</v>
      </c>
    </row>
    <row r="44" spans="1:21" x14ac:dyDescent="0.25">
      <c r="A44" t="s">
        <v>96</v>
      </c>
      <c r="B44" t="s">
        <v>97</v>
      </c>
      <c r="C44" t="s">
        <v>99</v>
      </c>
      <c r="D44">
        <v>85</v>
      </c>
      <c r="E44" t="s">
        <v>72</v>
      </c>
      <c r="G44" s="15">
        <v>47</v>
      </c>
      <c r="I44" s="13">
        <v>4</v>
      </c>
      <c r="J44" s="15"/>
      <c r="M44" s="15">
        <v>4</v>
      </c>
      <c r="N44" s="15">
        <v>4</v>
      </c>
      <c r="O44">
        <v>6</v>
      </c>
      <c r="P44">
        <v>5</v>
      </c>
      <c r="Q44" s="3">
        <v>8501243</v>
      </c>
      <c r="R44" s="4">
        <v>40</v>
      </c>
      <c r="T44" s="5">
        <f t="shared" si="0"/>
        <v>21253.107500000002</v>
      </c>
    </row>
    <row r="45" spans="1:21" x14ac:dyDescent="0.25">
      <c r="A45" t="s">
        <v>108</v>
      </c>
      <c r="B45" t="s">
        <v>109</v>
      </c>
      <c r="C45" t="s">
        <v>99</v>
      </c>
      <c r="D45">
        <v>85</v>
      </c>
      <c r="E45" t="s">
        <v>73</v>
      </c>
      <c r="G45" s="15">
        <v>54</v>
      </c>
      <c r="I45" s="13">
        <v>4</v>
      </c>
      <c r="J45" s="15"/>
      <c r="M45" s="15">
        <v>2</v>
      </c>
      <c r="N45" s="15">
        <v>3</v>
      </c>
      <c r="O45">
        <v>6</v>
      </c>
      <c r="P45">
        <v>5</v>
      </c>
      <c r="Q45" s="3">
        <v>7463825</v>
      </c>
      <c r="R45" s="4">
        <v>42</v>
      </c>
      <c r="T45" s="5">
        <f t="shared" si="0"/>
        <v>18659.5625</v>
      </c>
    </row>
    <row r="46" spans="1:21" x14ac:dyDescent="0.25">
      <c r="A46" t="s">
        <v>112</v>
      </c>
      <c r="B46" t="s">
        <v>113</v>
      </c>
      <c r="C46" t="s">
        <v>99</v>
      </c>
      <c r="D46">
        <v>90</v>
      </c>
      <c r="E46" t="s">
        <v>68</v>
      </c>
      <c r="G46" s="15">
        <v>50</v>
      </c>
      <c r="I46" s="13">
        <v>5</v>
      </c>
      <c r="J46" s="15"/>
      <c r="M46" s="15">
        <v>4</v>
      </c>
      <c r="N46" s="15">
        <v>4</v>
      </c>
      <c r="O46">
        <v>6</v>
      </c>
      <c r="P46">
        <v>5</v>
      </c>
      <c r="Q46" s="3">
        <v>8936080</v>
      </c>
      <c r="R46" s="4">
        <v>47</v>
      </c>
      <c r="T46" s="5">
        <f t="shared" si="0"/>
        <v>22340.2</v>
      </c>
    </row>
    <row r="47" spans="1:21" x14ac:dyDescent="0.25">
      <c r="A47" t="s">
        <v>124</v>
      </c>
      <c r="B47" t="s">
        <v>125</v>
      </c>
      <c r="C47" t="s">
        <v>99</v>
      </c>
      <c r="D47">
        <v>90</v>
      </c>
      <c r="E47" t="s">
        <v>68</v>
      </c>
      <c r="G47" s="15">
        <v>45</v>
      </c>
      <c r="I47" s="13">
        <v>3</v>
      </c>
      <c r="J47" s="15"/>
      <c r="M47" s="15">
        <v>2</v>
      </c>
      <c r="N47" s="15">
        <v>5</v>
      </c>
      <c r="O47">
        <v>6</v>
      </c>
      <c r="P47">
        <v>5</v>
      </c>
      <c r="Q47" s="3">
        <v>18399600</v>
      </c>
      <c r="R47" s="4">
        <v>37</v>
      </c>
      <c r="T47" s="5">
        <f t="shared" si="0"/>
        <v>45999</v>
      </c>
    </row>
    <row r="48" spans="1:21" x14ac:dyDescent="0.25">
      <c r="A48" t="s">
        <v>114</v>
      </c>
      <c r="B48" t="s">
        <v>115</v>
      </c>
      <c r="C48" t="s">
        <v>99</v>
      </c>
      <c r="D48">
        <v>95</v>
      </c>
      <c r="E48" t="s">
        <v>65</v>
      </c>
      <c r="G48" s="15">
        <v>40</v>
      </c>
      <c r="I48" s="13">
        <v>3</v>
      </c>
      <c r="J48" s="15"/>
      <c r="M48" s="15">
        <v>4</v>
      </c>
      <c r="N48" s="15">
        <v>2</v>
      </c>
      <c r="O48">
        <v>6</v>
      </c>
      <c r="P48">
        <v>5</v>
      </c>
      <c r="Q48" s="3">
        <v>9824327</v>
      </c>
      <c r="R48" s="4">
        <v>39</v>
      </c>
      <c r="T48" s="5">
        <f t="shared" si="0"/>
        <v>24560.817500000001</v>
      </c>
    </row>
    <row r="49" spans="1:20" x14ac:dyDescent="0.25">
      <c r="A49" t="s">
        <v>116</v>
      </c>
      <c r="B49" t="s">
        <v>117</v>
      </c>
      <c r="C49" t="s">
        <v>99</v>
      </c>
      <c r="D49">
        <v>100</v>
      </c>
      <c r="E49" t="s">
        <v>73</v>
      </c>
      <c r="G49" s="15">
        <v>55</v>
      </c>
      <c r="I49" s="13">
        <v>3</v>
      </c>
      <c r="J49" s="15"/>
      <c r="M49" s="15">
        <v>1</v>
      </c>
      <c r="N49" s="15">
        <v>4</v>
      </c>
      <c r="O49">
        <v>7</v>
      </c>
      <c r="P49">
        <v>5</v>
      </c>
      <c r="Q49" s="3">
        <v>7696667</v>
      </c>
      <c r="R49" s="4">
        <v>31</v>
      </c>
      <c r="T49" s="5">
        <f t="shared" si="0"/>
        <v>19241.6675</v>
      </c>
    </row>
    <row r="50" spans="1:20" x14ac:dyDescent="0.25">
      <c r="A50" t="s">
        <v>118</v>
      </c>
      <c r="B50" t="s">
        <v>119</v>
      </c>
      <c r="C50" t="s">
        <v>99</v>
      </c>
      <c r="D50">
        <v>100</v>
      </c>
      <c r="E50" t="s">
        <v>73</v>
      </c>
      <c r="G50" s="15">
        <v>64</v>
      </c>
      <c r="I50" s="13">
        <v>4</v>
      </c>
      <c r="J50" s="15"/>
      <c r="M50" s="15">
        <v>3</v>
      </c>
      <c r="N50" s="15">
        <v>4</v>
      </c>
      <c r="O50">
        <v>7</v>
      </c>
      <c r="P50">
        <v>5</v>
      </c>
      <c r="Q50" s="3">
        <v>9626000</v>
      </c>
      <c r="R50" s="4">
        <v>52</v>
      </c>
      <c r="T50" s="5">
        <f t="shared" si="0"/>
        <v>24065</v>
      </c>
    </row>
    <row r="51" spans="1:20" x14ac:dyDescent="0.25">
      <c r="A51" t="s">
        <v>126</v>
      </c>
      <c r="B51" t="s">
        <v>120</v>
      </c>
      <c r="C51" t="s">
        <v>99</v>
      </c>
      <c r="D51">
        <v>100</v>
      </c>
      <c r="E51" t="s">
        <v>73</v>
      </c>
      <c r="G51">
        <v>63</v>
      </c>
      <c r="I51" s="13">
        <v>4</v>
      </c>
      <c r="J51" s="15"/>
      <c r="M51" s="15">
        <v>1</v>
      </c>
      <c r="N51" s="15">
        <v>5</v>
      </c>
      <c r="O51">
        <v>7</v>
      </c>
      <c r="P51">
        <v>5</v>
      </c>
      <c r="Q51" s="3">
        <v>22398000</v>
      </c>
      <c r="R51" s="4">
        <v>54</v>
      </c>
      <c r="T51" s="5">
        <f t="shared" si="0"/>
        <v>55995</v>
      </c>
    </row>
    <row r="52" spans="1:20" x14ac:dyDescent="0.25">
      <c r="A52" t="s">
        <v>127</v>
      </c>
      <c r="B52" t="s">
        <v>121</v>
      </c>
      <c r="C52" t="s">
        <v>99</v>
      </c>
      <c r="D52">
        <v>100</v>
      </c>
      <c r="E52" t="s">
        <v>65</v>
      </c>
      <c r="G52">
        <v>66</v>
      </c>
      <c r="I52" s="13">
        <v>4</v>
      </c>
      <c r="J52" s="15"/>
      <c r="M52" s="15">
        <v>2</v>
      </c>
      <c r="N52" s="15">
        <v>4</v>
      </c>
      <c r="O52">
        <v>7</v>
      </c>
      <c r="P52">
        <v>5</v>
      </c>
      <c r="Q52" s="6">
        <v>10122000</v>
      </c>
      <c r="R52" s="7">
        <v>46</v>
      </c>
      <c r="S52" s="8"/>
      <c r="T52" s="9">
        <f t="shared" si="0"/>
        <v>25305</v>
      </c>
    </row>
    <row r="53" spans="1:20" x14ac:dyDescent="0.25">
      <c r="T53" s="11">
        <f>AVERAGE(Q41:Q52)</f>
        <v>10477452.666666666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591463-8248-4383-AB2D-AE219119A501}">
          <x14:formula1>
            <xm:f>'Misc Tables'!$A$2:$A$11</xm:f>
          </x14:formula1>
          <xm:sqref>E2:E52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14B8F-CA9A-402E-B293-C8FF103E111E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B5038-2C90-49A5-9352-EB0CF599BD6B}">
  <dimension ref="A1:B11"/>
  <sheetViews>
    <sheetView workbookViewId="0">
      <selection activeCell="B8" sqref="B8"/>
    </sheetView>
  </sheetViews>
  <sheetFormatPr defaultRowHeight="15" x14ac:dyDescent="0.25"/>
  <cols>
    <col min="1" max="1" width="12" customWidth="1"/>
    <col min="2" max="2" width="11.85546875" bestFit="1" customWidth="1"/>
  </cols>
  <sheetData>
    <row r="1" spans="1:2" x14ac:dyDescent="0.25">
      <c r="A1" s="12" t="s">
        <v>63</v>
      </c>
      <c r="B1" s="12" t="s">
        <v>131</v>
      </c>
    </row>
    <row r="2" spans="1:2" x14ac:dyDescent="0.25">
      <c r="A2" t="s">
        <v>70</v>
      </c>
      <c r="B2" t="s">
        <v>132</v>
      </c>
    </row>
    <row r="3" spans="1:2" x14ac:dyDescent="0.25">
      <c r="A3" t="s">
        <v>65</v>
      </c>
      <c r="B3" t="s">
        <v>133</v>
      </c>
    </row>
    <row r="4" spans="1:2" x14ac:dyDescent="0.25">
      <c r="A4" t="s">
        <v>69</v>
      </c>
      <c r="B4" t="s">
        <v>67</v>
      </c>
    </row>
    <row r="5" spans="1:2" x14ac:dyDescent="0.25">
      <c r="A5" t="s">
        <v>67</v>
      </c>
      <c r="B5" t="s">
        <v>134</v>
      </c>
    </row>
    <row r="6" spans="1:2" x14ac:dyDescent="0.25">
      <c r="A6" t="s">
        <v>73</v>
      </c>
      <c r="B6" t="s">
        <v>135</v>
      </c>
    </row>
    <row r="7" spans="1:2" x14ac:dyDescent="0.25">
      <c r="A7" t="s">
        <v>64</v>
      </c>
      <c r="B7" t="s">
        <v>69</v>
      </c>
    </row>
    <row r="8" spans="1:2" x14ac:dyDescent="0.25">
      <c r="A8" t="s">
        <v>66</v>
      </c>
      <c r="B8" t="s">
        <v>136</v>
      </c>
    </row>
    <row r="9" spans="1:2" x14ac:dyDescent="0.25">
      <c r="A9" t="s">
        <v>68</v>
      </c>
    </row>
    <row r="10" spans="1:2" x14ac:dyDescent="0.25">
      <c r="A10" t="s">
        <v>71</v>
      </c>
    </row>
    <row r="11" spans="1:2" x14ac:dyDescent="0.25">
      <c r="A11" t="s">
        <v>72</v>
      </c>
    </row>
  </sheetData>
  <sortState xmlns:xlrd2="http://schemas.microsoft.com/office/spreadsheetml/2017/richdata2" ref="A2:A11">
    <sortCondition ref="A2:A1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C2691-F153-42DD-AE26-EE64F03BC3A1}">
  <dimension ref="A1:Q55"/>
  <sheetViews>
    <sheetView topLeftCell="A15" workbookViewId="0">
      <selection activeCell="O25" sqref="O25"/>
    </sheetView>
  </sheetViews>
  <sheetFormatPr defaultRowHeight="15" x14ac:dyDescent="0.25"/>
  <cols>
    <col min="1" max="1" width="13" customWidth="1"/>
  </cols>
  <sheetData>
    <row r="1" spans="1:17" x14ac:dyDescent="0.25">
      <c r="A1" s="14" t="s">
        <v>137</v>
      </c>
      <c r="B1" s="16" t="s">
        <v>138</v>
      </c>
      <c r="C1" s="16" t="s">
        <v>139</v>
      </c>
      <c r="D1" s="16" t="s">
        <v>140</v>
      </c>
      <c r="E1" s="16" t="s">
        <v>141</v>
      </c>
      <c r="F1" s="16" t="s">
        <v>4</v>
      </c>
      <c r="G1" s="16" t="s">
        <v>142</v>
      </c>
      <c r="H1" s="16" t="s">
        <v>143</v>
      </c>
      <c r="O1" s="14"/>
      <c r="P1" s="14"/>
      <c r="Q1" s="14"/>
    </row>
    <row r="2" spans="1:17" x14ac:dyDescent="0.25">
      <c r="A2" s="17" t="s">
        <v>11</v>
      </c>
      <c r="B2" s="15">
        <v>6</v>
      </c>
      <c r="C2" s="15">
        <v>2</v>
      </c>
      <c r="D2" s="15">
        <v>2</v>
      </c>
      <c r="E2" s="15">
        <v>3</v>
      </c>
      <c r="F2" s="15">
        <v>14</v>
      </c>
      <c r="G2" s="15">
        <v>6</v>
      </c>
      <c r="H2" s="15">
        <v>1</v>
      </c>
      <c r="I2">
        <v>20</v>
      </c>
      <c r="J2" s="15">
        <v>7</v>
      </c>
      <c r="K2">
        <f>(I2/5)*2-1</f>
        <v>7</v>
      </c>
      <c r="L2" s="18">
        <f>G2-$G$14</f>
        <v>-1.166666666666667</v>
      </c>
      <c r="O2" s="17"/>
      <c r="P2" s="17"/>
      <c r="Q2" s="17"/>
    </row>
    <row r="3" spans="1:17" x14ac:dyDescent="0.25">
      <c r="A3" s="17" t="s">
        <v>21</v>
      </c>
      <c r="B3" s="15">
        <v>5</v>
      </c>
      <c r="C3" s="15">
        <v>3</v>
      </c>
      <c r="D3" s="15">
        <v>2</v>
      </c>
      <c r="E3" s="15">
        <v>3</v>
      </c>
      <c r="F3" s="15">
        <v>14</v>
      </c>
      <c r="G3" s="15">
        <v>6</v>
      </c>
      <c r="H3" s="15">
        <v>2</v>
      </c>
      <c r="I3">
        <v>20</v>
      </c>
      <c r="J3" s="15">
        <v>7</v>
      </c>
      <c r="K3">
        <f t="shared" ref="K3:K55" si="0">(I3/5)*2-1</f>
        <v>7</v>
      </c>
      <c r="L3" s="18">
        <f t="shared" ref="L3:L13" si="1">G3-$G$14</f>
        <v>-1.166666666666667</v>
      </c>
      <c r="O3" s="17"/>
      <c r="P3" s="17"/>
      <c r="Q3" s="17"/>
    </row>
    <row r="4" spans="1:17" x14ac:dyDescent="0.25">
      <c r="A4" s="17" t="s">
        <v>23</v>
      </c>
      <c r="B4" s="15">
        <v>5</v>
      </c>
      <c r="C4" s="15">
        <v>3</v>
      </c>
      <c r="D4" s="15">
        <v>2</v>
      </c>
      <c r="E4" s="15">
        <v>3</v>
      </c>
      <c r="F4" s="15">
        <v>14</v>
      </c>
      <c r="G4" s="15">
        <v>6</v>
      </c>
      <c r="H4" s="15">
        <v>2</v>
      </c>
      <c r="I4">
        <v>20</v>
      </c>
      <c r="J4" s="15">
        <v>7</v>
      </c>
      <c r="K4">
        <f t="shared" si="0"/>
        <v>7</v>
      </c>
      <c r="L4" s="18">
        <f t="shared" si="1"/>
        <v>-1.166666666666667</v>
      </c>
      <c r="O4" s="17"/>
      <c r="P4" s="17"/>
      <c r="Q4" s="17"/>
    </row>
    <row r="5" spans="1:17" x14ac:dyDescent="0.25">
      <c r="A5" s="17" t="s">
        <v>25</v>
      </c>
      <c r="B5" s="15">
        <v>5</v>
      </c>
      <c r="C5" s="15">
        <v>2</v>
      </c>
      <c r="D5" s="15">
        <v>3</v>
      </c>
      <c r="E5" s="15">
        <v>3</v>
      </c>
      <c r="F5" s="15">
        <v>16</v>
      </c>
      <c r="G5" s="15">
        <v>7</v>
      </c>
      <c r="H5" s="15">
        <v>2</v>
      </c>
      <c r="I5">
        <v>25</v>
      </c>
      <c r="J5" s="15">
        <v>10</v>
      </c>
      <c r="K5">
        <f t="shared" si="0"/>
        <v>9</v>
      </c>
      <c r="L5" s="18">
        <f>G5-$G$14</f>
        <v>-0.16666666666666696</v>
      </c>
      <c r="O5" s="17"/>
      <c r="P5" s="17"/>
      <c r="Q5" s="17"/>
    </row>
    <row r="6" spans="1:17" x14ac:dyDescent="0.25">
      <c r="A6" s="17" t="s">
        <v>52</v>
      </c>
      <c r="B6" s="15">
        <v>6</v>
      </c>
      <c r="C6" s="15">
        <v>4</v>
      </c>
      <c r="D6" s="15">
        <v>3</v>
      </c>
      <c r="E6" s="15">
        <v>3</v>
      </c>
      <c r="F6" s="15">
        <v>15</v>
      </c>
      <c r="G6" s="15">
        <v>7</v>
      </c>
      <c r="H6" s="15">
        <v>2</v>
      </c>
      <c r="I6">
        <v>25</v>
      </c>
      <c r="J6" s="15">
        <v>9</v>
      </c>
      <c r="K6">
        <f t="shared" si="0"/>
        <v>9</v>
      </c>
      <c r="L6" s="18">
        <f t="shared" si="1"/>
        <v>-0.16666666666666696</v>
      </c>
      <c r="O6" s="17"/>
      <c r="P6" s="17"/>
      <c r="Q6" s="17"/>
    </row>
    <row r="7" spans="1:17" x14ac:dyDescent="0.25">
      <c r="A7" s="17" t="s">
        <v>27</v>
      </c>
      <c r="B7" s="15">
        <v>4</v>
      </c>
      <c r="C7" s="15">
        <v>3</v>
      </c>
      <c r="D7" s="15">
        <v>3</v>
      </c>
      <c r="E7" s="15">
        <v>3</v>
      </c>
      <c r="F7" s="15">
        <v>18</v>
      </c>
      <c r="G7" s="15">
        <v>8</v>
      </c>
      <c r="H7" s="15">
        <v>2</v>
      </c>
      <c r="I7">
        <v>30</v>
      </c>
      <c r="J7" s="15">
        <v>12</v>
      </c>
      <c r="K7">
        <f t="shared" si="0"/>
        <v>11</v>
      </c>
      <c r="L7" s="18">
        <f t="shared" si="1"/>
        <v>0.83333333333333304</v>
      </c>
      <c r="O7" s="17"/>
      <c r="P7" s="17"/>
      <c r="Q7" s="17"/>
    </row>
    <row r="8" spans="1:17" x14ac:dyDescent="0.25">
      <c r="A8" s="17" t="s">
        <v>40</v>
      </c>
      <c r="B8" s="15">
        <v>6</v>
      </c>
      <c r="C8" s="15">
        <v>2</v>
      </c>
      <c r="D8" s="15">
        <v>2</v>
      </c>
      <c r="E8" s="15">
        <v>3</v>
      </c>
      <c r="F8" s="15">
        <v>15</v>
      </c>
      <c r="G8" s="15">
        <v>6</v>
      </c>
      <c r="H8" s="15">
        <v>2</v>
      </c>
      <c r="I8">
        <v>30</v>
      </c>
      <c r="J8" s="15">
        <v>10</v>
      </c>
      <c r="K8">
        <f t="shared" si="0"/>
        <v>11</v>
      </c>
      <c r="L8" s="18">
        <f t="shared" si="1"/>
        <v>-1.166666666666667</v>
      </c>
      <c r="O8" s="17"/>
      <c r="P8" s="17"/>
      <c r="Q8" s="17"/>
    </row>
    <row r="9" spans="1:17" x14ac:dyDescent="0.25">
      <c r="A9" s="17" t="s">
        <v>41</v>
      </c>
      <c r="B9" s="15">
        <v>5</v>
      </c>
      <c r="C9" s="15">
        <v>2</v>
      </c>
      <c r="D9" s="15">
        <v>2</v>
      </c>
      <c r="E9" s="15">
        <v>3</v>
      </c>
      <c r="F9" s="15">
        <v>16</v>
      </c>
      <c r="G9" s="15">
        <v>6</v>
      </c>
      <c r="H9" s="15">
        <v>2</v>
      </c>
      <c r="I9">
        <v>30</v>
      </c>
      <c r="J9" s="15">
        <v>10</v>
      </c>
      <c r="K9">
        <f t="shared" si="0"/>
        <v>11</v>
      </c>
      <c r="L9" s="18">
        <f t="shared" si="1"/>
        <v>-1.166666666666667</v>
      </c>
      <c r="O9" s="17"/>
      <c r="P9" s="17"/>
      <c r="Q9" s="17"/>
    </row>
    <row r="10" spans="1:17" x14ac:dyDescent="0.25">
      <c r="A10" s="17" t="s">
        <v>42</v>
      </c>
      <c r="B10" s="15">
        <v>6</v>
      </c>
      <c r="C10" s="15">
        <v>3</v>
      </c>
      <c r="D10" s="15">
        <v>3</v>
      </c>
      <c r="E10" s="15">
        <v>3</v>
      </c>
      <c r="F10" s="15">
        <v>14</v>
      </c>
      <c r="G10" s="15">
        <v>7</v>
      </c>
      <c r="H10" s="15">
        <v>2</v>
      </c>
      <c r="I10">
        <v>30</v>
      </c>
      <c r="J10" s="15">
        <v>11</v>
      </c>
      <c r="K10">
        <f t="shared" si="0"/>
        <v>11</v>
      </c>
      <c r="L10" s="18">
        <f t="shared" si="1"/>
        <v>-0.16666666666666696</v>
      </c>
      <c r="O10" s="17"/>
      <c r="P10" s="17"/>
      <c r="Q10" s="17"/>
    </row>
    <row r="11" spans="1:17" x14ac:dyDescent="0.25">
      <c r="A11" s="17" t="s">
        <v>43</v>
      </c>
      <c r="B11" s="15">
        <v>3</v>
      </c>
      <c r="C11" s="15">
        <v>4</v>
      </c>
      <c r="D11" s="15">
        <v>4</v>
      </c>
      <c r="E11" s="15">
        <v>3</v>
      </c>
      <c r="F11" s="15">
        <v>20</v>
      </c>
      <c r="G11" s="15">
        <v>9</v>
      </c>
      <c r="H11" s="15">
        <v>3</v>
      </c>
      <c r="I11">
        <v>35</v>
      </c>
      <c r="J11" s="15">
        <v>12</v>
      </c>
      <c r="K11">
        <f t="shared" si="0"/>
        <v>13</v>
      </c>
      <c r="L11" s="18">
        <f t="shared" si="1"/>
        <v>1.833333333333333</v>
      </c>
      <c r="O11" s="17"/>
      <c r="P11" s="17"/>
      <c r="Q11" s="17"/>
    </row>
    <row r="12" spans="1:17" x14ac:dyDescent="0.25">
      <c r="A12" s="17" t="s">
        <v>44</v>
      </c>
      <c r="B12" s="15">
        <v>4</v>
      </c>
      <c r="C12" s="15">
        <v>6</v>
      </c>
      <c r="D12" s="15">
        <v>3</v>
      </c>
      <c r="E12" s="15">
        <v>3</v>
      </c>
      <c r="F12" s="15">
        <v>18</v>
      </c>
      <c r="G12" s="15">
        <v>8</v>
      </c>
      <c r="H12" s="15">
        <v>2</v>
      </c>
      <c r="I12">
        <v>35</v>
      </c>
      <c r="J12" s="15">
        <v>13</v>
      </c>
      <c r="K12">
        <f t="shared" si="0"/>
        <v>13</v>
      </c>
      <c r="L12" s="18">
        <f t="shared" si="1"/>
        <v>0.83333333333333304</v>
      </c>
      <c r="O12" s="17"/>
      <c r="P12" s="17"/>
      <c r="Q12" s="17"/>
    </row>
    <row r="13" spans="1:17" ht="18" customHeight="1" x14ac:dyDescent="0.25">
      <c r="A13" s="17" t="s">
        <v>45</v>
      </c>
      <c r="B13" s="15">
        <v>4</v>
      </c>
      <c r="C13" s="15">
        <v>4</v>
      </c>
      <c r="D13" s="15">
        <v>5</v>
      </c>
      <c r="E13" s="15">
        <v>3</v>
      </c>
      <c r="F13" s="15">
        <v>22</v>
      </c>
      <c r="G13" s="15">
        <v>10</v>
      </c>
      <c r="H13" s="15">
        <v>3</v>
      </c>
      <c r="I13">
        <v>35</v>
      </c>
      <c r="J13" s="15">
        <v>14</v>
      </c>
      <c r="K13">
        <f t="shared" si="0"/>
        <v>13</v>
      </c>
      <c r="L13" s="18">
        <f t="shared" si="1"/>
        <v>2.833333333333333</v>
      </c>
      <c r="O13" s="17"/>
      <c r="P13" s="17"/>
      <c r="Q13" s="17"/>
    </row>
    <row r="14" spans="1:17" x14ac:dyDescent="0.25">
      <c r="G14" s="18">
        <f>AVERAGE(G2:G13)</f>
        <v>7.166666666666667</v>
      </c>
    </row>
    <row r="15" spans="1:17" x14ac:dyDescent="0.25">
      <c r="A15" s="14" t="s">
        <v>137</v>
      </c>
      <c r="B15" s="16" t="s">
        <v>138</v>
      </c>
      <c r="C15" s="16" t="s">
        <v>139</v>
      </c>
      <c r="D15" s="16" t="s">
        <v>140</v>
      </c>
      <c r="E15" s="16" t="s">
        <v>141</v>
      </c>
      <c r="F15" s="16" t="s">
        <v>4</v>
      </c>
      <c r="G15" s="16" t="s">
        <v>142</v>
      </c>
      <c r="H15" s="16" t="s">
        <v>143</v>
      </c>
    </row>
    <row r="16" spans="1:17" x14ac:dyDescent="0.25">
      <c r="A16" s="17" t="s">
        <v>54</v>
      </c>
      <c r="B16" s="15">
        <v>6</v>
      </c>
      <c r="C16" s="15">
        <v>2</v>
      </c>
      <c r="D16" s="15">
        <v>2</v>
      </c>
      <c r="E16" s="15">
        <v>4</v>
      </c>
      <c r="F16" s="15">
        <v>18</v>
      </c>
      <c r="G16" s="15">
        <v>8</v>
      </c>
      <c r="H16" s="15">
        <v>2</v>
      </c>
      <c r="I16">
        <v>40</v>
      </c>
      <c r="J16" s="15">
        <v>14</v>
      </c>
      <c r="K16">
        <f t="shared" si="0"/>
        <v>15</v>
      </c>
      <c r="L16" s="18">
        <f>G16-$G$28</f>
        <v>-3.5</v>
      </c>
    </row>
    <row r="17" spans="1:12" x14ac:dyDescent="0.25">
      <c r="A17" s="17" t="s">
        <v>56</v>
      </c>
      <c r="B17" s="15">
        <v>5</v>
      </c>
      <c r="C17" s="15">
        <v>2</v>
      </c>
      <c r="D17" s="15">
        <v>3</v>
      </c>
      <c r="E17" s="15">
        <v>4</v>
      </c>
      <c r="F17" s="15">
        <v>20</v>
      </c>
      <c r="G17" s="15">
        <v>9</v>
      </c>
      <c r="H17" s="15">
        <v>2</v>
      </c>
      <c r="I17">
        <v>40</v>
      </c>
      <c r="J17" s="15">
        <v>15</v>
      </c>
      <c r="K17">
        <f t="shared" si="0"/>
        <v>15</v>
      </c>
      <c r="L17" s="18">
        <f t="shared" ref="L17:L27" si="2">G17-$G$28</f>
        <v>-2.5</v>
      </c>
    </row>
    <row r="18" spans="1:12" x14ac:dyDescent="0.25">
      <c r="A18" s="17" t="s">
        <v>57</v>
      </c>
      <c r="B18" s="15">
        <v>3</v>
      </c>
      <c r="C18" s="15">
        <v>4</v>
      </c>
      <c r="D18" s="15">
        <v>3</v>
      </c>
      <c r="E18" s="15">
        <v>4</v>
      </c>
      <c r="F18" s="15">
        <v>24</v>
      </c>
      <c r="G18" s="15">
        <v>11</v>
      </c>
      <c r="H18" s="15">
        <v>2</v>
      </c>
      <c r="I18">
        <v>45</v>
      </c>
      <c r="J18" s="15">
        <v>17</v>
      </c>
      <c r="K18">
        <f t="shared" si="0"/>
        <v>17</v>
      </c>
      <c r="L18" s="18">
        <f t="shared" si="2"/>
        <v>-0.5</v>
      </c>
    </row>
    <row r="19" spans="1:12" ht="15" customHeight="1" x14ac:dyDescent="0.25">
      <c r="A19" s="17" t="s">
        <v>29</v>
      </c>
      <c r="B19" s="15">
        <v>6</v>
      </c>
      <c r="C19" s="15">
        <v>4</v>
      </c>
      <c r="D19" s="15">
        <v>3</v>
      </c>
      <c r="E19" s="15">
        <v>4</v>
      </c>
      <c r="F19" s="15">
        <v>25</v>
      </c>
      <c r="G19" s="15">
        <v>11</v>
      </c>
      <c r="H19" s="15">
        <v>3</v>
      </c>
      <c r="I19">
        <v>45</v>
      </c>
      <c r="J19" s="15">
        <v>17</v>
      </c>
      <c r="K19">
        <f t="shared" si="0"/>
        <v>17</v>
      </c>
      <c r="L19" s="18">
        <f t="shared" si="2"/>
        <v>-0.5</v>
      </c>
    </row>
    <row r="20" spans="1:12" x14ac:dyDescent="0.25">
      <c r="A20" s="17" t="s">
        <v>60</v>
      </c>
      <c r="B20" s="15">
        <v>4</v>
      </c>
      <c r="C20" s="15">
        <v>4</v>
      </c>
      <c r="D20" s="15">
        <v>5</v>
      </c>
      <c r="E20" s="15">
        <v>4</v>
      </c>
      <c r="F20" s="15">
        <v>26</v>
      </c>
      <c r="G20" s="15">
        <v>12</v>
      </c>
      <c r="H20" s="15">
        <v>3</v>
      </c>
      <c r="I20">
        <v>45</v>
      </c>
      <c r="J20" s="15">
        <v>18</v>
      </c>
      <c r="K20">
        <f t="shared" si="0"/>
        <v>17</v>
      </c>
      <c r="L20" s="18">
        <f t="shared" si="2"/>
        <v>0.5</v>
      </c>
    </row>
    <row r="21" spans="1:12" x14ac:dyDescent="0.25">
      <c r="A21" s="17" t="s">
        <v>37</v>
      </c>
      <c r="B21" s="15">
        <v>4</v>
      </c>
      <c r="C21" s="15">
        <v>3</v>
      </c>
      <c r="D21" s="15">
        <v>5</v>
      </c>
      <c r="E21" s="15">
        <v>4</v>
      </c>
      <c r="F21" s="15">
        <v>28</v>
      </c>
      <c r="G21" s="15">
        <v>13</v>
      </c>
      <c r="H21" s="15">
        <v>2</v>
      </c>
      <c r="I21">
        <v>50</v>
      </c>
      <c r="J21" s="15">
        <v>20</v>
      </c>
      <c r="K21">
        <f t="shared" si="0"/>
        <v>19</v>
      </c>
      <c r="L21" s="18">
        <f t="shared" si="2"/>
        <v>1.5</v>
      </c>
    </row>
    <row r="22" spans="1:12" x14ac:dyDescent="0.25">
      <c r="A22" s="17" t="s">
        <v>36</v>
      </c>
      <c r="B22" s="15">
        <v>3</v>
      </c>
      <c r="C22" s="15">
        <v>2</v>
      </c>
      <c r="D22" s="15">
        <v>5</v>
      </c>
      <c r="E22" s="15">
        <v>4</v>
      </c>
      <c r="F22" s="15">
        <v>31</v>
      </c>
      <c r="G22" s="15">
        <v>14</v>
      </c>
      <c r="H22" s="15">
        <v>2</v>
      </c>
      <c r="I22">
        <v>50</v>
      </c>
      <c r="J22" s="15">
        <v>22</v>
      </c>
      <c r="K22">
        <f t="shared" si="0"/>
        <v>19</v>
      </c>
      <c r="L22" s="18">
        <f t="shared" si="2"/>
        <v>2.5</v>
      </c>
    </row>
    <row r="23" spans="1:12" x14ac:dyDescent="0.25">
      <c r="A23" s="17" t="s">
        <v>61</v>
      </c>
      <c r="B23" s="15">
        <v>5</v>
      </c>
      <c r="C23" s="15">
        <v>5</v>
      </c>
      <c r="D23" s="15">
        <v>3</v>
      </c>
      <c r="E23" s="15">
        <v>4</v>
      </c>
      <c r="F23" s="15">
        <v>24</v>
      </c>
      <c r="G23" s="15">
        <v>11</v>
      </c>
      <c r="H23" s="15">
        <v>3</v>
      </c>
      <c r="I23">
        <v>50</v>
      </c>
      <c r="J23" s="15">
        <v>18</v>
      </c>
      <c r="K23">
        <f t="shared" si="0"/>
        <v>19</v>
      </c>
      <c r="L23" s="18">
        <f t="shared" si="2"/>
        <v>-0.5</v>
      </c>
    </row>
    <row r="24" spans="1:12" x14ac:dyDescent="0.25">
      <c r="A24" s="17" t="s">
        <v>78</v>
      </c>
      <c r="B24" s="15">
        <v>5</v>
      </c>
      <c r="C24" s="15">
        <v>5</v>
      </c>
      <c r="D24" s="15">
        <v>3</v>
      </c>
      <c r="E24" s="15">
        <v>4</v>
      </c>
      <c r="F24" s="15">
        <v>25</v>
      </c>
      <c r="G24" s="15">
        <v>11</v>
      </c>
      <c r="H24" s="15">
        <v>3</v>
      </c>
      <c r="I24">
        <v>50</v>
      </c>
      <c r="J24" s="15">
        <v>18</v>
      </c>
      <c r="K24">
        <f t="shared" si="0"/>
        <v>19</v>
      </c>
      <c r="L24" s="18">
        <f t="shared" si="2"/>
        <v>-0.5</v>
      </c>
    </row>
    <row r="25" spans="1:12" x14ac:dyDescent="0.25">
      <c r="A25" s="17" t="s">
        <v>32</v>
      </c>
      <c r="B25" s="15">
        <v>4</v>
      </c>
      <c r="C25" s="15">
        <v>4</v>
      </c>
      <c r="D25" s="15">
        <v>5</v>
      </c>
      <c r="E25" s="15">
        <v>4</v>
      </c>
      <c r="F25" s="15">
        <v>27</v>
      </c>
      <c r="G25" s="15">
        <v>12</v>
      </c>
      <c r="H25" s="15">
        <v>3</v>
      </c>
      <c r="I25">
        <v>55</v>
      </c>
      <c r="J25" s="15">
        <v>21</v>
      </c>
      <c r="K25">
        <f t="shared" si="0"/>
        <v>21</v>
      </c>
      <c r="L25" s="18">
        <f t="shared" si="2"/>
        <v>0.5</v>
      </c>
    </row>
    <row r="26" spans="1:12" ht="18" customHeight="1" x14ac:dyDescent="0.25">
      <c r="A26" s="17" t="s">
        <v>33</v>
      </c>
      <c r="B26" s="15">
        <v>5</v>
      </c>
      <c r="C26" s="15">
        <v>4</v>
      </c>
      <c r="D26" s="15">
        <v>5</v>
      </c>
      <c r="E26" s="15">
        <v>4</v>
      </c>
      <c r="F26" s="15">
        <v>31</v>
      </c>
      <c r="G26" s="15">
        <v>13</v>
      </c>
      <c r="H26" s="15">
        <v>2</v>
      </c>
      <c r="I26">
        <v>55</v>
      </c>
      <c r="J26" s="15">
        <v>21</v>
      </c>
      <c r="K26">
        <f t="shared" si="0"/>
        <v>21</v>
      </c>
      <c r="L26" s="18">
        <f t="shared" si="2"/>
        <v>1.5</v>
      </c>
    </row>
    <row r="27" spans="1:12" x14ac:dyDescent="0.25">
      <c r="A27" s="17" t="s">
        <v>35</v>
      </c>
      <c r="B27" s="15">
        <v>5</v>
      </c>
      <c r="C27" s="15">
        <v>4</v>
      </c>
      <c r="D27" s="15">
        <v>6</v>
      </c>
      <c r="E27" s="15">
        <v>4</v>
      </c>
      <c r="F27" s="15">
        <v>30</v>
      </c>
      <c r="G27" s="15">
        <v>13</v>
      </c>
      <c r="H27" s="15">
        <v>3</v>
      </c>
      <c r="I27">
        <v>55</v>
      </c>
      <c r="J27" s="15">
        <v>21</v>
      </c>
      <c r="K27">
        <f t="shared" si="0"/>
        <v>21</v>
      </c>
      <c r="L27" s="18">
        <f t="shared" si="2"/>
        <v>1.5</v>
      </c>
    </row>
    <row r="28" spans="1:12" x14ac:dyDescent="0.25">
      <c r="G28" s="18">
        <f>AVERAGE(G16:G27)</f>
        <v>11.5</v>
      </c>
    </row>
    <row r="29" spans="1:12" x14ac:dyDescent="0.25">
      <c r="A29" s="14" t="s">
        <v>137</v>
      </c>
      <c r="B29" s="16" t="s">
        <v>138</v>
      </c>
      <c r="C29" s="16" t="s">
        <v>139</v>
      </c>
      <c r="D29" s="16" t="s">
        <v>140</v>
      </c>
      <c r="E29" s="16" t="s">
        <v>141</v>
      </c>
      <c r="F29" s="16" t="s">
        <v>4</v>
      </c>
      <c r="G29" s="16" t="s">
        <v>142</v>
      </c>
      <c r="H29" s="16" t="s">
        <v>143</v>
      </c>
    </row>
    <row r="30" spans="1:12" x14ac:dyDescent="0.25">
      <c r="A30" s="17" t="s">
        <v>101</v>
      </c>
      <c r="B30" s="15">
        <v>3</v>
      </c>
      <c r="C30" s="15">
        <v>3</v>
      </c>
      <c r="D30" s="15">
        <v>3</v>
      </c>
      <c r="E30" s="15">
        <v>5</v>
      </c>
      <c r="F30" s="15">
        <v>33</v>
      </c>
      <c r="G30" s="15">
        <v>15</v>
      </c>
      <c r="H30" s="15">
        <v>2</v>
      </c>
      <c r="I30">
        <v>60</v>
      </c>
      <c r="J30" s="15">
        <v>23</v>
      </c>
      <c r="K30">
        <f t="shared" si="0"/>
        <v>23</v>
      </c>
    </row>
    <row r="31" spans="1:12" x14ac:dyDescent="0.25">
      <c r="A31" s="17" t="s">
        <v>81</v>
      </c>
      <c r="B31" s="15">
        <v>5</v>
      </c>
      <c r="C31" s="15">
        <v>2</v>
      </c>
      <c r="D31" s="15">
        <v>3</v>
      </c>
      <c r="E31" s="15">
        <v>5</v>
      </c>
      <c r="F31" s="15">
        <v>33</v>
      </c>
      <c r="G31" s="15">
        <v>15</v>
      </c>
      <c r="H31" s="15">
        <v>2</v>
      </c>
      <c r="I31">
        <v>60</v>
      </c>
      <c r="J31" s="15">
        <v>22</v>
      </c>
      <c r="K31">
        <f t="shared" si="0"/>
        <v>23</v>
      </c>
    </row>
    <row r="32" spans="1:12" x14ac:dyDescent="0.25">
      <c r="A32" s="17" t="s">
        <v>83</v>
      </c>
      <c r="B32" s="15">
        <v>3</v>
      </c>
      <c r="C32" s="15">
        <v>5</v>
      </c>
      <c r="D32" s="15">
        <v>2</v>
      </c>
      <c r="E32" s="15">
        <v>5</v>
      </c>
      <c r="F32" s="15">
        <v>30</v>
      </c>
      <c r="G32" s="15">
        <v>14</v>
      </c>
      <c r="H32" s="15">
        <v>1</v>
      </c>
      <c r="I32">
        <v>60</v>
      </c>
      <c r="J32" s="15">
        <v>23</v>
      </c>
      <c r="K32">
        <f t="shared" si="0"/>
        <v>23</v>
      </c>
    </row>
    <row r="33" spans="1:11" x14ac:dyDescent="0.25">
      <c r="A33" s="17" t="s">
        <v>129</v>
      </c>
      <c r="B33" s="15">
        <v>4</v>
      </c>
      <c r="C33" s="15">
        <v>2</v>
      </c>
      <c r="D33" s="15">
        <v>4</v>
      </c>
      <c r="E33" s="15">
        <v>5</v>
      </c>
      <c r="F33" s="15">
        <v>36</v>
      </c>
      <c r="G33" s="15">
        <v>16</v>
      </c>
      <c r="H33" s="15">
        <v>2</v>
      </c>
      <c r="I33">
        <v>65</v>
      </c>
      <c r="K33">
        <f t="shared" si="0"/>
        <v>25</v>
      </c>
    </row>
    <row r="34" spans="1:11" x14ac:dyDescent="0.25">
      <c r="A34" s="17" t="s">
        <v>85</v>
      </c>
      <c r="B34" s="15">
        <v>3</v>
      </c>
      <c r="C34" s="15">
        <v>3</v>
      </c>
      <c r="D34" s="15">
        <v>6</v>
      </c>
      <c r="E34" s="15">
        <v>5</v>
      </c>
      <c r="F34" s="15">
        <v>38</v>
      </c>
      <c r="G34" s="15">
        <v>17</v>
      </c>
      <c r="H34" s="15">
        <v>3</v>
      </c>
      <c r="I34">
        <v>65</v>
      </c>
      <c r="K34">
        <f t="shared" si="0"/>
        <v>25</v>
      </c>
    </row>
    <row r="35" spans="1:11" x14ac:dyDescent="0.25">
      <c r="A35" s="17" t="s">
        <v>87</v>
      </c>
      <c r="B35" s="15">
        <v>3</v>
      </c>
      <c r="C35" s="15">
        <v>4</v>
      </c>
      <c r="D35" s="15">
        <v>5</v>
      </c>
      <c r="E35" s="15">
        <v>5</v>
      </c>
      <c r="F35" s="15">
        <v>34</v>
      </c>
      <c r="G35" s="15">
        <v>16</v>
      </c>
      <c r="H35" s="15">
        <v>3</v>
      </c>
      <c r="I35">
        <v>65</v>
      </c>
      <c r="K35">
        <f t="shared" si="0"/>
        <v>25</v>
      </c>
    </row>
    <row r="36" spans="1:11" x14ac:dyDescent="0.25">
      <c r="A36" s="17" t="s">
        <v>89</v>
      </c>
      <c r="B36" s="15">
        <v>3</v>
      </c>
      <c r="C36" s="15">
        <v>4</v>
      </c>
      <c r="D36" s="15">
        <v>5</v>
      </c>
      <c r="E36" s="15">
        <v>5</v>
      </c>
      <c r="F36" s="15">
        <v>36</v>
      </c>
      <c r="G36" s="15">
        <v>16</v>
      </c>
      <c r="H36" s="15">
        <v>3</v>
      </c>
      <c r="I36">
        <v>70</v>
      </c>
      <c r="K36">
        <f t="shared" si="0"/>
        <v>27</v>
      </c>
    </row>
    <row r="37" spans="1:11" x14ac:dyDescent="0.25">
      <c r="A37" s="17" t="s">
        <v>103</v>
      </c>
      <c r="B37" s="15">
        <v>5</v>
      </c>
      <c r="C37" s="15">
        <v>4</v>
      </c>
      <c r="D37" s="15">
        <v>6</v>
      </c>
      <c r="E37" s="15">
        <v>5</v>
      </c>
      <c r="F37" s="15">
        <v>36</v>
      </c>
      <c r="G37" s="15">
        <v>16</v>
      </c>
      <c r="H37" s="15">
        <v>4</v>
      </c>
      <c r="I37">
        <v>70</v>
      </c>
      <c r="K37">
        <f t="shared" si="0"/>
        <v>27</v>
      </c>
    </row>
    <row r="38" spans="1:11" x14ac:dyDescent="0.25">
      <c r="A38" s="17" t="s">
        <v>91</v>
      </c>
      <c r="B38" s="15">
        <v>3</v>
      </c>
      <c r="C38" s="15">
        <v>5</v>
      </c>
      <c r="D38" s="15">
        <v>3</v>
      </c>
      <c r="E38" s="15">
        <v>5</v>
      </c>
      <c r="F38" s="15">
        <v>37</v>
      </c>
      <c r="G38" s="15">
        <v>16</v>
      </c>
      <c r="H38" s="15">
        <v>2</v>
      </c>
      <c r="I38">
        <v>70</v>
      </c>
      <c r="K38">
        <f t="shared" si="0"/>
        <v>27</v>
      </c>
    </row>
    <row r="39" spans="1:11" x14ac:dyDescent="0.25">
      <c r="A39" s="17" t="s">
        <v>102</v>
      </c>
      <c r="B39" s="15">
        <v>3</v>
      </c>
      <c r="C39" s="15">
        <v>5</v>
      </c>
      <c r="D39" s="15">
        <v>6</v>
      </c>
      <c r="E39" s="15">
        <v>5</v>
      </c>
      <c r="F39" s="15">
        <v>39</v>
      </c>
      <c r="G39" s="15">
        <v>17</v>
      </c>
      <c r="H39" s="15">
        <v>4</v>
      </c>
      <c r="I39">
        <v>75</v>
      </c>
      <c r="K39">
        <f t="shared" si="0"/>
        <v>29</v>
      </c>
    </row>
    <row r="40" spans="1:11" x14ac:dyDescent="0.25">
      <c r="A40" s="17" t="s">
        <v>93</v>
      </c>
      <c r="B40" s="15">
        <v>4</v>
      </c>
      <c r="C40" s="15">
        <v>5</v>
      </c>
      <c r="D40" s="15">
        <v>5</v>
      </c>
      <c r="E40" s="15">
        <v>5</v>
      </c>
      <c r="F40" s="15">
        <v>41</v>
      </c>
      <c r="G40" s="15">
        <v>17</v>
      </c>
      <c r="H40" s="15">
        <v>3</v>
      </c>
      <c r="I40">
        <v>75</v>
      </c>
      <c r="K40">
        <f t="shared" si="0"/>
        <v>29</v>
      </c>
    </row>
    <row r="41" spans="1:11" x14ac:dyDescent="0.25">
      <c r="A41" s="17" t="s">
        <v>107</v>
      </c>
      <c r="B41" s="15">
        <v>3</v>
      </c>
      <c r="C41" s="15">
        <v>3</v>
      </c>
      <c r="D41" s="15">
        <v>5</v>
      </c>
      <c r="E41" s="15">
        <v>5</v>
      </c>
      <c r="F41" s="15">
        <v>39</v>
      </c>
      <c r="G41" s="15">
        <v>18</v>
      </c>
      <c r="H41" s="15">
        <v>3</v>
      </c>
      <c r="I41">
        <v>75</v>
      </c>
      <c r="K41">
        <f t="shared" si="0"/>
        <v>29</v>
      </c>
    </row>
    <row r="43" spans="1:11" x14ac:dyDescent="0.25">
      <c r="A43" s="14" t="s">
        <v>137</v>
      </c>
      <c r="B43" s="16" t="s">
        <v>138</v>
      </c>
      <c r="C43" s="16" t="s">
        <v>139</v>
      </c>
      <c r="D43" s="16" t="s">
        <v>140</v>
      </c>
      <c r="E43" s="16" t="s">
        <v>141</v>
      </c>
      <c r="F43" s="16" t="s">
        <v>4</v>
      </c>
      <c r="G43" s="16" t="s">
        <v>142</v>
      </c>
      <c r="H43" s="16" t="s">
        <v>143</v>
      </c>
    </row>
    <row r="44" spans="1:11" x14ac:dyDescent="0.25">
      <c r="A44" s="17" t="s">
        <v>95</v>
      </c>
      <c r="B44" s="15">
        <v>2</v>
      </c>
      <c r="C44" s="15">
        <v>4</v>
      </c>
      <c r="D44" s="15">
        <v>6</v>
      </c>
      <c r="E44" s="15">
        <v>6</v>
      </c>
      <c r="F44" s="15">
        <v>51</v>
      </c>
      <c r="G44" s="15">
        <v>22</v>
      </c>
      <c r="H44" s="15">
        <v>5</v>
      </c>
      <c r="I44">
        <v>80</v>
      </c>
      <c r="K44">
        <f t="shared" si="0"/>
        <v>31</v>
      </c>
    </row>
    <row r="45" spans="1:11" x14ac:dyDescent="0.25">
      <c r="A45" s="17" t="s">
        <v>111</v>
      </c>
      <c r="B45" s="15">
        <v>3</v>
      </c>
      <c r="C45" s="15">
        <v>3</v>
      </c>
      <c r="D45" s="15">
        <v>5</v>
      </c>
      <c r="E45" s="15">
        <v>6</v>
      </c>
      <c r="F45" s="15">
        <v>43</v>
      </c>
      <c r="G45" s="15">
        <v>20</v>
      </c>
      <c r="H45" s="15">
        <v>3</v>
      </c>
      <c r="I45">
        <v>80</v>
      </c>
      <c r="K45">
        <f t="shared" si="0"/>
        <v>31</v>
      </c>
    </row>
    <row r="46" spans="1:11" x14ac:dyDescent="0.25">
      <c r="A46" s="17" t="s">
        <v>123</v>
      </c>
      <c r="B46" s="15">
        <v>5</v>
      </c>
      <c r="C46" s="15">
        <v>3</v>
      </c>
      <c r="D46" s="15">
        <v>4</v>
      </c>
      <c r="E46" s="15">
        <v>6</v>
      </c>
      <c r="F46" s="15">
        <v>41</v>
      </c>
      <c r="G46" s="15">
        <v>19</v>
      </c>
      <c r="H46" s="15">
        <v>3</v>
      </c>
      <c r="I46">
        <v>80</v>
      </c>
      <c r="K46">
        <f t="shared" si="0"/>
        <v>31</v>
      </c>
    </row>
    <row r="47" spans="1:11" x14ac:dyDescent="0.25">
      <c r="A47" s="17" t="s">
        <v>97</v>
      </c>
      <c r="B47" s="15">
        <v>4</v>
      </c>
      <c r="C47" s="15">
        <v>4</v>
      </c>
      <c r="D47" s="15">
        <v>5</v>
      </c>
      <c r="E47" s="15">
        <v>6</v>
      </c>
      <c r="F47" s="15">
        <v>45</v>
      </c>
      <c r="G47" s="15">
        <v>20</v>
      </c>
      <c r="H47" s="15">
        <v>4</v>
      </c>
      <c r="I47">
        <v>85</v>
      </c>
      <c r="K47">
        <f t="shared" si="0"/>
        <v>33</v>
      </c>
    </row>
    <row r="48" spans="1:11" x14ac:dyDescent="0.25">
      <c r="A48" s="17" t="s">
        <v>109</v>
      </c>
      <c r="B48" s="15">
        <v>2</v>
      </c>
      <c r="C48" s="15">
        <v>3</v>
      </c>
      <c r="D48" s="15">
        <v>6</v>
      </c>
      <c r="E48" s="15">
        <v>6</v>
      </c>
      <c r="F48" s="15">
        <v>52</v>
      </c>
      <c r="G48" s="15">
        <v>23</v>
      </c>
      <c r="H48" s="15">
        <v>3</v>
      </c>
      <c r="I48">
        <v>85</v>
      </c>
      <c r="K48">
        <f t="shared" si="0"/>
        <v>33</v>
      </c>
    </row>
    <row r="49" spans="1:11" x14ac:dyDescent="0.25">
      <c r="A49" s="17" t="s">
        <v>113</v>
      </c>
      <c r="B49" s="15">
        <v>4</v>
      </c>
      <c r="C49" s="15">
        <v>4</v>
      </c>
      <c r="D49" s="15">
        <v>6</v>
      </c>
      <c r="E49" s="15">
        <v>6</v>
      </c>
      <c r="F49" s="15">
        <v>48</v>
      </c>
      <c r="G49" s="15">
        <v>22</v>
      </c>
      <c r="H49" s="15">
        <v>4</v>
      </c>
      <c r="I49">
        <v>90</v>
      </c>
      <c r="K49">
        <f t="shared" si="0"/>
        <v>35</v>
      </c>
    </row>
    <row r="50" spans="1:11" x14ac:dyDescent="0.25">
      <c r="A50" s="17" t="s">
        <v>125</v>
      </c>
      <c r="B50" s="15">
        <v>2</v>
      </c>
      <c r="C50" s="15">
        <v>5</v>
      </c>
      <c r="D50" s="15">
        <v>3</v>
      </c>
      <c r="E50" s="15">
        <v>6</v>
      </c>
      <c r="F50" s="15">
        <v>44</v>
      </c>
      <c r="G50" s="15">
        <v>21</v>
      </c>
      <c r="H50" s="15">
        <v>2</v>
      </c>
      <c r="I50">
        <v>90</v>
      </c>
      <c r="K50">
        <f t="shared" si="0"/>
        <v>35</v>
      </c>
    </row>
    <row r="51" spans="1:11" x14ac:dyDescent="0.25">
      <c r="A51" s="17" t="s">
        <v>115</v>
      </c>
      <c r="B51" s="15">
        <v>4</v>
      </c>
      <c r="C51" s="15">
        <v>2</v>
      </c>
      <c r="D51" s="15">
        <v>4</v>
      </c>
      <c r="E51" s="15">
        <v>6</v>
      </c>
      <c r="F51" s="15">
        <v>43</v>
      </c>
      <c r="G51" s="15">
        <v>22</v>
      </c>
      <c r="H51" s="15">
        <v>2</v>
      </c>
      <c r="I51">
        <v>95</v>
      </c>
      <c r="K51">
        <f t="shared" si="0"/>
        <v>37</v>
      </c>
    </row>
    <row r="52" spans="1:11" x14ac:dyDescent="0.25">
      <c r="A52" s="17" t="s">
        <v>117</v>
      </c>
      <c r="B52" s="15">
        <v>1</v>
      </c>
      <c r="C52" s="15">
        <v>4</v>
      </c>
      <c r="D52" s="15">
        <v>6</v>
      </c>
      <c r="E52" s="15">
        <v>6</v>
      </c>
      <c r="F52" s="15">
        <v>56</v>
      </c>
      <c r="G52" s="15">
        <v>24</v>
      </c>
      <c r="H52" s="15">
        <v>2</v>
      </c>
      <c r="I52">
        <v>100</v>
      </c>
      <c r="K52">
        <f t="shared" si="0"/>
        <v>39</v>
      </c>
    </row>
    <row r="53" spans="1:11" x14ac:dyDescent="0.25">
      <c r="A53" s="17" t="s">
        <v>119</v>
      </c>
      <c r="B53" s="15">
        <v>3</v>
      </c>
      <c r="C53" s="15">
        <v>4</v>
      </c>
      <c r="D53" s="15">
        <v>6</v>
      </c>
      <c r="E53" s="15">
        <v>6</v>
      </c>
      <c r="F53" s="15">
        <v>58</v>
      </c>
      <c r="G53" s="15">
        <v>25</v>
      </c>
      <c r="H53" s="15">
        <v>4</v>
      </c>
      <c r="I53">
        <v>100</v>
      </c>
      <c r="K53">
        <f t="shared" si="0"/>
        <v>39</v>
      </c>
    </row>
    <row r="54" spans="1:11" x14ac:dyDescent="0.25">
      <c r="A54" s="17" t="s">
        <v>120</v>
      </c>
      <c r="B54" s="15">
        <v>1</v>
      </c>
      <c r="C54" s="15">
        <v>5</v>
      </c>
      <c r="D54" s="15">
        <v>5</v>
      </c>
      <c r="E54" s="15">
        <v>6</v>
      </c>
      <c r="F54" s="15">
        <v>57</v>
      </c>
      <c r="G54" s="15">
        <v>24</v>
      </c>
      <c r="H54" s="15">
        <v>3</v>
      </c>
      <c r="I54">
        <v>100</v>
      </c>
      <c r="K54">
        <f t="shared" si="0"/>
        <v>39</v>
      </c>
    </row>
    <row r="55" spans="1:11" x14ac:dyDescent="0.25">
      <c r="A55" s="17" t="s">
        <v>121</v>
      </c>
      <c r="B55" s="15">
        <v>2</v>
      </c>
      <c r="C55" s="15">
        <v>4</v>
      </c>
      <c r="D55" s="15">
        <v>6</v>
      </c>
      <c r="E55" s="15">
        <v>6</v>
      </c>
      <c r="F55" s="15">
        <v>55</v>
      </c>
      <c r="G55" s="15">
        <v>24</v>
      </c>
      <c r="H55" s="15">
        <v>3</v>
      </c>
      <c r="I55">
        <v>100</v>
      </c>
      <c r="K55">
        <f t="shared" si="0"/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Mechs</vt:lpstr>
      <vt:lpstr>Asset Modules</vt:lpstr>
      <vt:lpstr>Misc Tables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Cember, Ariel Frank</dc:creator>
  <cp:lastModifiedBy>Cember, Ariel Frank</cp:lastModifiedBy>
  <dcterms:created xsi:type="dcterms:W3CDTF">2026-05-13T19:39:05Z</dcterms:created>
  <dcterms:modified xsi:type="dcterms:W3CDTF">2026-05-14T04:38:22Z</dcterms:modified>
</cp:coreProperties>
</file>