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undryData-Dev\Data\systems\mwd\docs\"/>
    </mc:Choice>
  </mc:AlternateContent>
  <xr:revisionPtr revIDLastSave="0" documentId="13_ncr:1_{2D4FB945-F4DD-4396-B3F6-6A0FA50FD83B}" xr6:coauthVersionLast="47" xr6:coauthVersionMax="47" xr10:uidLastSave="{00000000-0000-0000-0000-000000000000}"/>
  <bookViews>
    <workbookView xWindow="2400" yWindow="630" windowWidth="23205" windowHeight="19275" xr2:uid="{8D44F242-D0B2-4B9E-94CF-33F11494976A}"/>
  </bookViews>
  <sheets>
    <sheet name="Mechs" sheetId="1" r:id="rId1"/>
    <sheet name="Vehicles" sheetId="5" r:id="rId2"/>
    <sheet name="Asset Modules" sheetId="2" r:id="rId3"/>
    <sheet name="Misc Tabl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2" i="1" l="1"/>
  <c r="U4" i="1"/>
  <c r="U42" i="1"/>
  <c r="U28" i="1"/>
  <c r="U29" i="1"/>
  <c r="U15" i="1"/>
  <c r="U39" i="1"/>
  <c r="U38" i="1"/>
  <c r="U37" i="1"/>
  <c r="U33" i="1"/>
  <c r="U49" i="1"/>
  <c r="U46" i="1"/>
  <c r="U47" i="1"/>
  <c r="U48" i="1"/>
  <c r="U50" i="1"/>
  <c r="U51" i="1"/>
  <c r="U52" i="1"/>
  <c r="U53" i="1"/>
  <c r="U54" i="1"/>
  <c r="U45" i="1"/>
  <c r="U30" i="1"/>
  <c r="U31" i="1"/>
  <c r="U34" i="1"/>
  <c r="U35" i="1"/>
  <c r="U36" i="1"/>
  <c r="U40" i="1"/>
  <c r="U41" i="1"/>
  <c r="U43" i="1"/>
  <c r="U44" i="1"/>
  <c r="U3" i="1"/>
  <c r="U7" i="1"/>
  <c r="U5" i="1"/>
  <c r="U6" i="1"/>
  <c r="U8" i="1"/>
  <c r="U9" i="1"/>
  <c r="U10" i="1"/>
  <c r="U11" i="1"/>
  <c r="U12" i="1"/>
  <c r="U13" i="1"/>
  <c r="U14" i="1"/>
  <c r="U16" i="1"/>
  <c r="U17" i="1"/>
  <c r="U18" i="1"/>
  <c r="U19" i="1"/>
  <c r="U20" i="1"/>
  <c r="U21" i="1"/>
  <c r="U22" i="1"/>
  <c r="U23" i="1"/>
  <c r="U24" i="1"/>
  <c r="U25" i="1"/>
  <c r="U26" i="1"/>
  <c r="U27" i="1"/>
  <c r="U2" i="1"/>
</calcChain>
</file>

<file path=xl/sharedStrings.xml><?xml version="1.0" encoding="utf-8"?>
<sst xmlns="http://schemas.openxmlformats.org/spreadsheetml/2006/main" count="793" uniqueCount="501">
  <si>
    <t>Chassis</t>
  </si>
  <si>
    <t>Weight Class</t>
  </si>
  <si>
    <t>Tonnage</t>
  </si>
  <si>
    <t>Movement</t>
  </si>
  <si>
    <t>Armor</t>
  </si>
  <si>
    <t>Structure</t>
  </si>
  <si>
    <t>Heat Dissipation</t>
  </si>
  <si>
    <t>Weapon Groups</t>
  </si>
  <si>
    <t>Model</t>
  </si>
  <si>
    <t>Designation</t>
  </si>
  <si>
    <t>LCT-1V</t>
  </si>
  <si>
    <t>Locust</t>
  </si>
  <si>
    <t>Light</t>
  </si>
  <si>
    <t>Quirk</t>
  </si>
  <si>
    <t>C-Bills</t>
  </si>
  <si>
    <t>Point Cost</t>
  </si>
  <si>
    <t>Tags</t>
  </si>
  <si>
    <t>Handling</t>
  </si>
  <si>
    <t>System</t>
  </si>
  <si>
    <t>Reliability</t>
  </si>
  <si>
    <t>STG-3R</t>
  </si>
  <si>
    <t>Stinger</t>
  </si>
  <si>
    <t>COM-2D</t>
  </si>
  <si>
    <t>Commando</t>
  </si>
  <si>
    <t>VLK-QA</t>
  </si>
  <si>
    <t>Valkyrie</t>
  </si>
  <si>
    <t>PXH-1</t>
  </si>
  <si>
    <t>Phoenix Hawk</t>
  </si>
  <si>
    <t>Medium</t>
  </si>
  <si>
    <t>GRF-1N</t>
  </si>
  <si>
    <t>Griffin</t>
  </si>
  <si>
    <t>Shadow Hawk</t>
  </si>
  <si>
    <t>WVR-6R</t>
  </si>
  <si>
    <t>Wolverine</t>
  </si>
  <si>
    <t>Hunchback</t>
  </si>
  <si>
    <t>Centurion</t>
  </si>
  <si>
    <t>CN9-D</t>
  </si>
  <si>
    <t>HBK-4G</t>
  </si>
  <si>
    <t>Hermes</t>
  </si>
  <si>
    <t>Javelin</t>
  </si>
  <si>
    <t>Spider</t>
  </si>
  <si>
    <t>Panther</t>
  </si>
  <si>
    <t>Raven</t>
  </si>
  <si>
    <t>Wolfhound</t>
  </si>
  <si>
    <t>HER-1S</t>
  </si>
  <si>
    <t>JVN-10P</t>
  </si>
  <si>
    <t>SDR-5D</t>
  </si>
  <si>
    <t>PNT-9R</t>
  </si>
  <si>
    <t>RVN-4L</t>
  </si>
  <si>
    <t>MON-66</t>
  </si>
  <si>
    <t>Mongoose</t>
  </si>
  <si>
    <t>CDA-2B</t>
  </si>
  <si>
    <t>Cicada</t>
  </si>
  <si>
    <t>VT-5S</t>
  </si>
  <si>
    <t>Vulcan</t>
  </si>
  <si>
    <t>Blackjack</t>
  </si>
  <si>
    <t>BJ-1</t>
  </si>
  <si>
    <t>VND-1R</t>
  </si>
  <si>
    <t>Vindicator</t>
  </si>
  <si>
    <t>Starslayer</t>
  </si>
  <si>
    <t>STY-2C-EC</t>
  </si>
  <si>
    <t>Mech Role</t>
  </si>
  <si>
    <t>Scout</t>
  </si>
  <si>
    <t>Brawler</t>
  </si>
  <si>
    <t>Skirmisher</t>
  </si>
  <si>
    <t>Fire Support</t>
  </si>
  <si>
    <t>Sniper</t>
  </si>
  <si>
    <t>Command</t>
  </si>
  <si>
    <t>Ambusher</t>
  </si>
  <si>
    <t>Striker</t>
  </si>
  <si>
    <t>Trooper</t>
  </si>
  <si>
    <t>Juggernaut</t>
  </si>
  <si>
    <t>Role</t>
  </si>
  <si>
    <t>WLF-2</t>
  </si>
  <si>
    <t>SHD-2D</t>
  </si>
  <si>
    <t>UZL-3S</t>
  </si>
  <si>
    <t>Uziel</t>
  </si>
  <si>
    <t>DRG-1N</t>
  </si>
  <si>
    <t>Dragon</t>
  </si>
  <si>
    <t>RFL-3N</t>
  </si>
  <si>
    <t>Rifleman</t>
  </si>
  <si>
    <t>TDR-5S</t>
  </si>
  <si>
    <t>Thunderbolt</t>
  </si>
  <si>
    <t>CPLT-C1</t>
  </si>
  <si>
    <t>Catapult</t>
  </si>
  <si>
    <t>ARC-2R</t>
  </si>
  <si>
    <t>Archer</t>
  </si>
  <si>
    <t>WHM-6R</t>
  </si>
  <si>
    <t>Warhammer</t>
  </si>
  <si>
    <t>MAD-3R</t>
  </si>
  <si>
    <t>Marauder</t>
  </si>
  <si>
    <t>AWS-8Q</t>
  </si>
  <si>
    <t>Awesome</t>
  </si>
  <si>
    <t>BLR-1G</t>
  </si>
  <si>
    <t>Battlemaster</t>
  </si>
  <si>
    <t>Heavy</t>
  </si>
  <si>
    <t>Assault</t>
  </si>
  <si>
    <t>CRD-3R</t>
  </si>
  <si>
    <t>Crusader</t>
  </si>
  <si>
    <t>Black Knight</t>
  </si>
  <si>
    <t>Grasshopper</t>
  </si>
  <si>
    <t>GHR-5H</t>
  </si>
  <si>
    <t>BL-6-KNT</t>
  </si>
  <si>
    <t>ON1-K</t>
  </si>
  <si>
    <t>Orion</t>
  </si>
  <si>
    <t>STK-3F</t>
  </si>
  <si>
    <t>Stalker</t>
  </si>
  <si>
    <t>GOL-1H</t>
  </si>
  <si>
    <t>Goliath</t>
  </si>
  <si>
    <t>HGN-732</t>
  </si>
  <si>
    <t>Highlander</t>
  </si>
  <si>
    <t>BNC-3M</t>
  </si>
  <si>
    <t>Banshee</t>
  </si>
  <si>
    <t>ANH-1A</t>
  </si>
  <si>
    <t>Annihilator</t>
  </si>
  <si>
    <t>AS7-D</t>
  </si>
  <si>
    <t>Atlas</t>
  </si>
  <si>
    <t>Devastator</t>
  </si>
  <si>
    <t>King Crab</t>
  </si>
  <si>
    <t>VTR-9K</t>
  </si>
  <si>
    <t>Victor</t>
  </si>
  <si>
    <t>MAL-1R</t>
  </si>
  <si>
    <t>Mauler</t>
  </si>
  <si>
    <t>DVS-2</t>
  </si>
  <si>
    <t>KGC-000</t>
  </si>
  <si>
    <t>AXM-1N</t>
  </si>
  <si>
    <t>Axman</t>
  </si>
  <si>
    <t>Lance Roles</t>
  </si>
  <si>
    <t>Recon</t>
  </si>
  <si>
    <t>Strike</t>
  </si>
  <si>
    <t>Battle</t>
  </si>
  <si>
    <t>Breaching</t>
  </si>
  <si>
    <t>Raider</t>
  </si>
  <si>
    <t>Thermal Profile</t>
  </si>
  <si>
    <t>Jump</t>
  </si>
  <si>
    <t>Yes</t>
  </si>
  <si>
    <t>No</t>
  </si>
  <si>
    <t>Code</t>
  </si>
  <si>
    <t>Tier</t>
  </si>
  <si>
    <t>Safe</t>
  </si>
  <si>
    <t>Hot</t>
  </si>
  <si>
    <t>Overheat</t>
  </si>
  <si>
    <t>Danger</t>
  </si>
  <si>
    <t>C</t>
  </si>
  <si>
    <t>0–1</t>
  </si>
  <si>
    <t>5–6</t>
  </si>
  <si>
    <t>7+</t>
  </si>
  <si>
    <t>B</t>
  </si>
  <si>
    <t>0–2</t>
  </si>
  <si>
    <t>3–4</t>
  </si>
  <si>
    <t>3–5</t>
  </si>
  <si>
    <t>6–7</t>
  </si>
  <si>
    <t>8+</t>
  </si>
  <si>
    <t>0–3</t>
  </si>
  <si>
    <t>4–5</t>
  </si>
  <si>
    <t>A</t>
  </si>
  <si>
    <t>4–6</t>
  </si>
  <si>
    <t>7–8</t>
  </si>
  <si>
    <t>9+</t>
  </si>
  <si>
    <t>10+</t>
  </si>
  <si>
    <t>AA</t>
  </si>
  <si>
    <t>0–4</t>
  </si>
  <si>
    <t>5–7</t>
  </si>
  <si>
    <t>8–9</t>
  </si>
  <si>
    <t>AAA</t>
  </si>
  <si>
    <t>11+</t>
  </si>
  <si>
    <t>S</t>
  </si>
  <si>
    <t>0–5</t>
  </si>
  <si>
    <t>6–8</t>
  </si>
  <si>
    <t>9–11</t>
  </si>
  <si>
    <t>12+</t>
  </si>
  <si>
    <t>SS</t>
  </si>
  <si>
    <t>6–9</t>
  </si>
  <si>
    <t>10–12</t>
  </si>
  <si>
    <t>13+</t>
  </si>
  <si>
    <t>5–8</t>
  </si>
  <si>
    <t>9–12</t>
  </si>
  <si>
    <t>SSS</t>
  </si>
  <si>
    <t>0–6</t>
  </si>
  <si>
    <t>7–10</t>
  </si>
  <si>
    <t>11–14</t>
  </si>
  <si>
    <t>15+</t>
  </si>
  <si>
    <t>Deploy Cost</t>
  </si>
  <si>
    <t>Typical Use</t>
  </si>
  <si>
    <t>HT-01</t>
  </si>
  <si>
    <t>D</t>
  </si>
  <si>
    <t>2–3</t>
  </si>
  <si>
    <t>6+</t>
  </si>
  <si>
    <t>catastrophic heat problems</t>
  </si>
  <si>
    <t>HT-02</t>
  </si>
  <si>
    <t>poor SHS designs</t>
  </si>
  <si>
    <t>HT-03</t>
  </si>
  <si>
    <t>workable but stressed</t>
  </si>
  <si>
    <t>HT-04</t>
  </si>
  <si>
    <t>standard Inner Sphere</t>
  </si>
  <si>
    <t>HT-05</t>
  </si>
  <si>
    <t>efficient SHS / elite designs</t>
  </si>
  <si>
    <t>HT-06</t>
  </si>
  <si>
    <t>9–10</t>
  </si>
  <si>
    <t>very efficient DHS</t>
  </si>
  <si>
    <t>HT-07</t>
  </si>
  <si>
    <t>standard DHS</t>
  </si>
  <si>
    <t>HT-08</t>
  </si>
  <si>
    <t>elite DHS sustained fire</t>
  </si>
  <si>
    <t>HT-09</t>
  </si>
  <si>
    <t>Clan “icebox”</t>
  </si>
  <si>
    <t>HT-10</t>
  </si>
  <si>
    <t>X</t>
  </si>
  <si>
    <t>0–7</t>
  </si>
  <si>
    <t>8–11</t>
  </si>
  <si>
    <t>12–15</t>
  </si>
  <si>
    <t>16+</t>
  </si>
  <si>
    <t>elite Clan/endgame</t>
  </si>
  <si>
    <t>HT-11</t>
  </si>
  <si>
    <t>XX</t>
  </si>
  <si>
    <t>0–8</t>
  </si>
  <si>
    <t>13–16</t>
  </si>
  <si>
    <t>17+</t>
  </si>
  <si>
    <t>absurd experimental</t>
  </si>
  <si>
    <t>HT-12</t>
  </si>
  <si>
    <t>XXX</t>
  </si>
  <si>
    <t>0–9</t>
  </si>
  <si>
    <t>10–13</t>
  </si>
  <si>
    <t>14–18</t>
  </si>
  <si>
    <t>19+</t>
  </si>
  <si>
    <t>near-thermal immunity</t>
  </si>
  <si>
    <t>Track Size</t>
  </si>
  <si>
    <t>WSP-100</t>
  </si>
  <si>
    <t>Wasp LAM</t>
  </si>
  <si>
    <t>FLE-17</t>
  </si>
  <si>
    <t>Flea</t>
  </si>
  <si>
    <t>QKD-5M</t>
  </si>
  <si>
    <t>Quickdraw</t>
  </si>
  <si>
    <t>Structural Cost</t>
  </si>
  <si>
    <t>Component</t>
  </si>
  <si>
    <t>Formula</t>
  </si>
  <si>
    <t>Myomer</t>
  </si>
  <si>
    <t>Engine</t>
  </si>
  <si>
    <t>Type</t>
  </si>
  <si>
    <t>Standard</t>
  </si>
  <si>
    <t>Gyro</t>
  </si>
  <si>
    <t>XL</t>
  </si>
  <si>
    <t>EngRate X 3750</t>
  </si>
  <si>
    <t>EngRate X Tonnage X 67</t>
  </si>
  <si>
    <t>EngRate X 3000</t>
  </si>
  <si>
    <t>Tonnage X 2000</t>
  </si>
  <si>
    <t>EngRate X Tonnage X 267</t>
  </si>
  <si>
    <t>Fire Control Suite</t>
  </si>
  <si>
    <t>Advanced Sensors</t>
  </si>
  <si>
    <t>Reinforced Cockpit</t>
  </si>
  <si>
    <t>Low Profile</t>
  </si>
  <si>
    <t>Oversized Frame</t>
  </si>
  <si>
    <t>Cramp Cockpit</t>
  </si>
  <si>
    <t>Hard to Pilot</t>
  </si>
  <si>
    <t>Easy to Pilot</t>
  </si>
  <si>
    <t>Equipment</t>
  </si>
  <si>
    <t>Targeting Computer</t>
  </si>
  <si>
    <t>Battle Computer - Cluster Optimizer</t>
  </si>
  <si>
    <t>Network</t>
  </si>
  <si>
    <t>C3 Unit</t>
  </si>
  <si>
    <t>Bloodhound Active Probe</t>
  </si>
  <si>
    <t>Beagle Active Probe</t>
  </si>
  <si>
    <t>Watchdog CEWS</t>
  </si>
  <si>
    <t>Protection Systems</t>
  </si>
  <si>
    <t>CASE</t>
  </si>
  <si>
    <t>Feed Stabilizer</t>
  </si>
  <si>
    <t>Coolant Pod</t>
  </si>
  <si>
    <t>Power Rerouter Bus</t>
  </si>
  <si>
    <t>Mobility</t>
  </si>
  <si>
    <t>Basic Jump Jet</t>
  </si>
  <si>
    <t>Improved Jump Jet</t>
  </si>
  <si>
    <t>Triple Strength Myomer</t>
  </si>
  <si>
    <t>M.A.S.C.</t>
  </si>
  <si>
    <t>Artemis IV FCS</t>
  </si>
  <si>
    <t>TAG Designator</t>
  </si>
  <si>
    <t>NARC Beacon Launcher</t>
  </si>
  <si>
    <t>Guardian ECM</t>
  </si>
  <si>
    <t>Advanced Targeting Computer</t>
  </si>
  <si>
    <t>Combat  Electronics</t>
  </si>
  <si>
    <t>Advanced Optics</t>
  </si>
  <si>
    <t>IFF Jammer</t>
  </si>
  <si>
    <t>Jump Booster</t>
  </si>
  <si>
    <t>Thermal Exchanger</t>
  </si>
  <si>
    <t>Thermal Bank</t>
  </si>
  <si>
    <t>Stealth X system</t>
  </si>
  <si>
    <t>Battle Computer - Ballistic Optimizer</t>
  </si>
  <si>
    <t>Battle Computer - Energy Optimizer</t>
  </si>
  <si>
    <t>Buffered VDNI Console</t>
  </si>
  <si>
    <t>Encased Cybernetic Cockpit</t>
  </si>
  <si>
    <t>Carried Combat Shield</t>
  </si>
  <si>
    <t>SLIC Suite</t>
  </si>
  <si>
    <t>AR14 Sheathed Beacon</t>
  </si>
  <si>
    <t>Nova CEWS</t>
  </si>
  <si>
    <t>Probeking QS</t>
  </si>
  <si>
    <t>Electronic Protection Array</t>
  </si>
  <si>
    <t>Hardened Armor</t>
  </si>
  <si>
    <t>Reactive Plating</t>
  </si>
  <si>
    <t>Harjel II</t>
  </si>
  <si>
    <t>Supercharger</t>
  </si>
  <si>
    <t>Reflective Glazing</t>
  </si>
  <si>
    <t>Effect</t>
  </si>
  <si>
    <t>Requirement</t>
  </si>
  <si>
    <t xml:space="preserve">Overheat </t>
  </si>
  <si>
    <t>+1 gunnery dice, +5 AR for penetrating attacks</t>
  </si>
  <si>
    <t>+1 gunnery dice, +5 AR for energy attacks</t>
  </si>
  <si>
    <t>Cluster Dice hit on 4+</t>
  </si>
  <si>
    <t>Legs not Crippled/Disabled</t>
  </si>
  <si>
    <t>Cost/Risk</t>
  </si>
  <si>
    <t>None</t>
  </si>
  <si>
    <t>Jump Move generates +1 heat</t>
  </si>
  <si>
    <t>1 Jump Move Action; +1 TrackingPenalty; +3 AR</t>
  </si>
  <si>
    <t>2 Jump Move Action; +1 TrackingPenalty; +3 AR</t>
  </si>
  <si>
    <t>Sensor Lock; missile weapon</t>
  </si>
  <si>
    <t>Sensor Lock; cluster weapon</t>
  </si>
  <si>
    <t>Sensor Lock; ballistic weapon</t>
  </si>
  <si>
    <t>Sensor Lock; energy weapon</t>
  </si>
  <si>
    <r>
      <t>+5 AR</t>
    </r>
    <r>
      <rPr>
        <sz val="11"/>
        <color theme="1"/>
        <rFont val="Aptos Narrow"/>
        <family val="2"/>
        <scheme val="minor"/>
      </rPr>
      <t xml:space="preserve"> with missile attacks; guided missile systems may use Lock/TAG/NARC benefits</t>
    </r>
  </si>
  <si>
    <r>
      <t>+2 melee damage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+30m ground movement</t>
    </r>
  </si>
  <si>
    <t>+50m ground movement when engaged</t>
  </si>
  <si>
    <r>
      <t>+1 Piloting die</t>
    </r>
    <r>
      <rPr>
        <sz val="11"/>
        <color theme="1"/>
        <rFont val="Aptos Narrow"/>
        <family val="2"/>
        <scheme val="minor"/>
      </rPr>
      <t xml:space="preserve">; </t>
    </r>
    <r>
      <rPr>
        <sz val="10"/>
        <color theme="1"/>
        <rFont val="Arial Unicode MS"/>
      </rPr>
      <t>+5 AR</t>
    </r>
    <r>
      <rPr>
        <sz val="11"/>
        <color theme="1"/>
        <rFont val="Aptos Narrow"/>
        <family val="2"/>
        <scheme val="minor"/>
      </rPr>
      <t xml:space="preserve"> with melee attacks</t>
    </r>
  </si>
  <si>
    <r>
      <t>+100m ground movement</t>
    </r>
    <r>
      <rPr>
        <sz val="11"/>
        <color theme="1"/>
        <rFont val="Aptos Narrow"/>
        <family val="2"/>
        <scheme val="minor"/>
      </rPr>
      <t xml:space="preserve"> when engaged</t>
    </r>
  </si>
  <si>
    <t>+1 heat per move action while active and +1 leg stress when used.</t>
  </si>
  <si>
    <t>+1 leg stress when used.</t>
  </si>
  <si>
    <t>none, but it only functions while heat remains in the required band.</t>
  </si>
  <si>
    <t>Provider Hook</t>
  </si>
  <si>
    <t>Attack</t>
  </si>
  <si>
    <t>missile lockGated, fireControl</t>
  </si>
  <si>
    <t>cluster, lockGated</t>
  </si>
  <si>
    <t>ballistics, lockGated</t>
  </si>
  <si>
    <t>laser, lockGated</t>
  </si>
  <si>
    <t>jump, heat</t>
  </si>
  <si>
    <t>speedBoost, legs</t>
  </si>
  <si>
    <t>Attack, CQ provider</t>
  </si>
  <si>
    <t>cluster damage provider</t>
  </si>
  <si>
    <t>Attack provider</t>
  </si>
  <si>
    <t>Mobility provider</t>
  </si>
  <si>
    <t>speedBoost, melee</t>
  </si>
  <si>
    <t>Mobility, melee attack provider</t>
  </si>
  <si>
    <t>speedBoost, legs, heat</t>
  </si>
  <si>
    <t>Generates +1 heat when used</t>
  </si>
  <si>
    <t>Sensor provider</t>
  </si>
  <si>
    <t>EW Provider</t>
  </si>
  <si>
    <t>sensors, passive, optics</t>
  </si>
  <si>
    <t>Active sensors available</t>
  </si>
  <si>
    <t>sensors, activeProbe, quickScan</t>
  </si>
  <si>
    <t>Arms or Legs not Disabled, no actuator failure</t>
  </si>
  <si>
    <r>
      <t xml:space="preserve">Line of sight; not </t>
    </r>
    <r>
      <rPr>
        <sz val="10"/>
        <color theme="1"/>
        <rFont val="Arial Unicode MS"/>
      </rPr>
      <t>sensorBlind</t>
    </r>
  </si>
  <si>
    <r>
      <t>sensors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activeProbe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ecm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epm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beacon</t>
    </r>
  </si>
  <si>
    <r>
      <t xml:space="preserve">Ignore obscuredLight; </t>
    </r>
    <r>
      <rPr>
        <sz val="10"/>
        <color theme="1"/>
        <rFont val="Arial Unicode MS"/>
      </rPr>
      <t>+1 die</t>
    </r>
    <r>
      <rPr>
        <sz val="11"/>
        <color theme="1"/>
        <rFont val="Aptos Narrow"/>
        <family val="2"/>
        <scheme val="minor"/>
      </rPr>
      <t xml:space="preserve"> to visual identification</t>
    </r>
  </si>
  <si>
    <r>
      <t>sensors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activeProbe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antiStealth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mineDetection</t>
    </r>
  </si>
  <si>
    <r>
      <t>sensors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activeProbe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mineDetection</t>
    </r>
  </si>
  <si>
    <t>+2 dice acquireTarget / Sensor Sweep/generateTargetingData; +2 Piloting dice to avoid mines; acquire blind → contact as freeAction. Ignore ecmShrouded.</t>
  </si>
  <si>
    <t>+1 die acquireTarget / Sensor Sweep, +2 Piloting dice to avoid mines; upgrade blind → contact, contact → track as freeAction. Ignore obscuredLight</t>
  </si>
  <si>
    <t>acquireTarget attempt each activation may be made as a Free Action</t>
  </si>
  <si>
    <t>acquireTarget action generates 1 heat</t>
  </si>
  <si>
    <r>
      <t>ecm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epm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sensors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cews</t>
    </r>
  </si>
  <si>
    <r>
      <t>ecm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epm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sensors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cews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advanced</t>
    </r>
  </si>
  <si>
    <r>
      <t>ecm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defensiveJammer</t>
    </r>
  </si>
  <si>
    <r>
      <t>epm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counterEW</t>
    </r>
  </si>
  <si>
    <r>
      <t xml:space="preserve">Applies </t>
    </r>
    <r>
      <rPr>
        <sz val="10"/>
        <color theme="1"/>
        <rFont val="Arial Unicode MS"/>
      </rPr>
      <t>ecmShrouded</t>
    </r>
    <r>
      <rPr>
        <sz val="11"/>
        <color theme="1"/>
        <rFont val="Aptos Narrow"/>
        <family val="2"/>
        <scheme val="minor"/>
      </rPr>
      <t xml:space="preserve"> to the carrier. Grants </t>
    </r>
    <r>
      <rPr>
        <sz val="10"/>
        <color theme="1"/>
        <rFont val="Arial Unicode MS"/>
      </rPr>
      <t>+1 die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acquireTarget</t>
    </r>
    <r>
      <rPr>
        <sz val="11"/>
        <color theme="1"/>
        <rFont val="Aptos Narrow"/>
        <family val="2"/>
        <scheme val="minor"/>
      </rPr>
      <t xml:space="preserve">. Grants </t>
    </r>
    <r>
      <rPr>
        <sz val="10"/>
        <color theme="1"/>
        <rFont val="Arial Unicode MS"/>
      </rPr>
      <t>+1 die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epmFilter</t>
    </r>
    <r>
      <rPr>
        <sz val="11"/>
        <color theme="1"/>
        <rFont val="Aptos Narrow"/>
        <family val="2"/>
        <scheme val="minor"/>
      </rPr>
      <t>. Flexible compact EW package.</t>
    </r>
  </si>
  <si>
    <r>
      <t xml:space="preserve">Applies </t>
    </r>
    <r>
      <rPr>
        <sz val="10"/>
        <color theme="1"/>
        <rFont val="Arial Unicode MS"/>
      </rPr>
      <t>ecmShrouded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epmBoosted</t>
    </r>
    <r>
      <rPr>
        <sz val="11"/>
        <color theme="1"/>
        <rFont val="Aptos Narrow"/>
        <family val="2"/>
        <scheme val="minor"/>
      </rPr>
      <t xml:space="preserve"> to the carrier. Grants </t>
    </r>
    <r>
      <rPr>
        <sz val="10"/>
        <color theme="1"/>
        <rFont val="Arial Unicode MS"/>
      </rPr>
      <t>+1 die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acquireTarget</t>
    </r>
    <r>
      <rPr>
        <sz val="11"/>
        <color theme="1"/>
        <rFont val="Aptos Narrow"/>
        <family val="2"/>
        <scheme val="minor"/>
      </rPr>
      <t xml:space="preserve">. Grants </t>
    </r>
    <r>
      <rPr>
        <sz val="10"/>
        <color theme="1"/>
        <rFont val="Arial Unicode MS"/>
      </rPr>
      <t>+1 die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ecmSpike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breakLock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epmFilter</t>
    </r>
    <r>
      <rPr>
        <sz val="11"/>
        <color theme="1"/>
        <rFont val="Aptos Narrow"/>
        <family val="2"/>
        <scheme val="minor"/>
      </rPr>
      <t>. Active mode applies ecmShrouded to allies within 90m.</t>
    </r>
  </si>
  <si>
    <t>Active mode generates 1 heat</t>
  </si>
  <si>
    <t>Applies ecmShrouded to the carrier. Grants +3 dice to ecmSpike and breakLock.; Active mode applies ecmShrouded to allies within 180m.</t>
  </si>
  <si>
    <r>
      <t xml:space="preserve">Applies </t>
    </r>
    <r>
      <rPr>
        <sz val="10"/>
        <color theme="1"/>
        <rFont val="Arial Unicode MS"/>
      </rPr>
      <t>epmBoosted</t>
    </r>
    <r>
      <rPr>
        <sz val="11"/>
        <color theme="1"/>
        <rFont val="Aptos Narrow"/>
        <family val="2"/>
        <scheme val="minor"/>
      </rPr>
      <t xml:space="preserve"> to the carrier. Grants </t>
    </r>
    <r>
      <rPr>
        <sz val="10"/>
        <color theme="1"/>
        <rFont val="Arial Unicode MS"/>
      </rPr>
      <t>+2 dice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epmFilter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holdLink</t>
    </r>
    <r>
      <rPr>
        <sz val="11"/>
        <color theme="1"/>
        <rFont val="Aptos Narrow"/>
        <family val="2"/>
        <scheme val="minor"/>
      </rPr>
      <t xml:space="preserve">. While </t>
    </r>
    <r>
      <rPr>
        <sz val="10"/>
        <color theme="1"/>
        <rFont val="Arial Unicode MS"/>
      </rPr>
      <t>epmBoosted</t>
    </r>
    <r>
      <rPr>
        <sz val="11"/>
        <color theme="1"/>
        <rFont val="Aptos Narrow"/>
        <family val="2"/>
        <scheme val="minor"/>
      </rPr>
      <t xml:space="preserve">, the carrier may ignore </t>
    </r>
    <r>
      <rPr>
        <sz val="10"/>
        <color theme="1"/>
        <rFont val="Arial Unicode MS"/>
      </rPr>
      <t>ecmJamming</t>
    </r>
    <r>
      <rPr>
        <sz val="11"/>
        <color theme="1"/>
        <rFont val="Aptos Narrow"/>
        <family val="2"/>
        <scheme val="minor"/>
      </rPr>
      <t xml:space="preserve">’s targetingData reduction and may attempt to acquire </t>
    </r>
    <r>
      <rPr>
        <sz val="10"/>
        <color theme="1"/>
        <rFont val="Arial Unicode MS"/>
      </rPr>
      <t>lock</t>
    </r>
    <r>
      <rPr>
        <sz val="11"/>
        <color theme="1"/>
        <rFont val="Aptos Narrow"/>
        <family val="2"/>
        <scheme val="minor"/>
      </rPr>
      <t xml:space="preserve"> despite </t>
    </r>
    <r>
      <rPr>
        <sz val="10"/>
        <color theme="1"/>
        <rFont val="Arial Unicode MS"/>
      </rPr>
      <t>ecmJamming</t>
    </r>
    <r>
      <rPr>
        <sz val="11"/>
        <color theme="1"/>
        <rFont val="Aptos Narrow"/>
        <family val="2"/>
        <scheme val="minor"/>
      </rPr>
      <t>.</t>
    </r>
  </si>
  <si>
    <r>
      <t xml:space="preserve">Suppresses shared targetingData, C3 sharing, IFF-assisted fire, TAG/NARC/beacon sharing, and allied contact-sharing on affected tracked targets. Does not apply generic </t>
    </r>
    <r>
      <rPr>
        <sz val="10"/>
        <color theme="1"/>
        <rFont val="Arial Unicode MS"/>
      </rPr>
      <t>ecmJamming</t>
    </r>
    <r>
      <rPr>
        <sz val="11"/>
        <color theme="1"/>
        <rFont val="Aptos Narrow"/>
        <family val="2"/>
        <scheme val="minor"/>
      </rPr>
      <t xml:space="preserve"> unless used with an ECM Spike action.</t>
    </r>
  </si>
  <si>
    <r>
      <t>stealth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signatureControl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heat</t>
    </r>
  </si>
  <si>
    <r>
      <t>ecm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networkDisruption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iff</t>
    </r>
  </si>
  <si>
    <t>+2 trackingPenalty when attacking the carrier; +1 DN for enemy acquireTarget tests when in use</t>
  </si>
  <si>
    <r>
      <t xml:space="preserve">Applies </t>
    </r>
    <r>
      <rPr>
        <sz val="10"/>
        <color theme="1"/>
        <rFont val="Arial Unicode MS"/>
      </rPr>
      <t>ecmShrouded</t>
    </r>
    <r>
      <rPr>
        <sz val="11"/>
        <color theme="1"/>
        <rFont val="Aptos Narrow"/>
        <family val="2"/>
        <scheme val="minor"/>
      </rPr>
      <t xml:space="preserve"> to the carrier while active. Grants </t>
    </r>
    <r>
      <rPr>
        <sz val="10"/>
        <color theme="1"/>
        <rFont val="Arial Unicode MS"/>
      </rPr>
      <t>+1 die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acquireTarget</t>
    </r>
    <r>
      <rPr>
        <sz val="11"/>
        <color theme="1"/>
        <rFont val="Aptos Narrow"/>
        <family val="2"/>
        <scheme val="minor"/>
      </rPr>
      <t xml:space="preserve">. Grants </t>
    </r>
    <r>
      <rPr>
        <sz val="10"/>
        <color theme="1"/>
        <rFont val="Arial Unicode MS"/>
      </rPr>
      <t>+1 die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epmFilter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holdLink</t>
    </r>
    <r>
      <rPr>
        <sz val="11"/>
        <color theme="1"/>
        <rFont val="Aptos Narrow"/>
        <family val="2"/>
        <scheme val="minor"/>
      </rPr>
      <t>. Applies epmBoosted to allies within 180m</t>
    </r>
  </si>
  <si>
    <t>Suite active</t>
  </si>
  <si>
    <t>ECM active</t>
  </si>
  <si>
    <t>EPM active</t>
  </si>
  <si>
    <r>
      <t xml:space="preserve">Target must be at least </t>
    </r>
    <r>
      <rPr>
        <sz val="10"/>
        <color theme="1"/>
        <rFont val="Arial Unicode MS"/>
      </rPr>
      <t>track status</t>
    </r>
    <r>
      <rPr>
        <sz val="11"/>
        <color theme="1"/>
        <rFont val="Aptos Narrow"/>
        <family val="2"/>
        <scheme val="minor"/>
      </rPr>
      <t>, or part of a network/link</t>
    </r>
  </si>
  <si>
    <t>Stealth system active</t>
  </si>
  <si>
    <t>Armored Cockpit Cowl</t>
  </si>
  <si>
    <t>Pilot has neural interface; cockpit not disabled</t>
  </si>
  <si>
    <r>
      <t xml:space="preserve">If </t>
    </r>
    <r>
      <rPr>
        <sz val="10"/>
        <color theme="1"/>
        <rFont val="Arial Unicode MS"/>
      </rPr>
      <t>sensorBlind</t>
    </r>
    <r>
      <rPr>
        <sz val="11"/>
        <color theme="1"/>
        <rFont val="Aptos Narrow"/>
        <family val="2"/>
        <scheme val="minor"/>
      </rPr>
      <t xml:space="preserve">, shutdown, or neural-interface crit occurs, pilot suffers </t>
    </r>
    <r>
      <rPr>
        <sz val="10"/>
        <color theme="1"/>
        <rFont val="Arial Unicode MS"/>
      </rPr>
      <t>+1 Fatigue</t>
    </r>
    <r>
      <rPr>
        <sz val="11"/>
        <color theme="1"/>
        <rFont val="Aptos Narrow"/>
        <family val="2"/>
        <scheme val="minor"/>
      </rPr>
      <t xml:space="preserve"> from feedback. </t>
    </r>
  </si>
  <si>
    <r>
      <t>cockpit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pilotProtection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neuralInterface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sealedCockpit</t>
    </r>
  </si>
  <si>
    <r>
      <t>cockpit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pilotProtection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armor</t>
    </r>
  </si>
  <si>
    <t>Cockpit/head not disabled</t>
  </si>
  <si>
    <t>Reduces pilot Physical damage from Head/Cockpit crits by 1</t>
  </si>
  <si>
    <t>Reduces pilot Physical damage from Head/Cockpit crits by 1. Grants +1 die to Piloting checks made to resist cockpit shock, fall impact, or control feedback.</t>
  </si>
  <si>
    <r>
      <t>targeting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range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tracking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precision</t>
    </r>
  </si>
  <si>
    <r>
      <t>cockpit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vdni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neuralInterface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initiative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stability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multiAction</t>
    </r>
  </si>
  <si>
    <r>
      <t>targeting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stabilization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recoilCompensation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movementFire</t>
    </r>
  </si>
  <si>
    <r>
      <t xml:space="preserve">Target at </t>
    </r>
    <r>
      <rPr>
        <sz val="10"/>
        <color theme="1"/>
        <rFont val="Arial Unicode MS"/>
      </rPr>
      <t>track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lock</t>
    </r>
    <r>
      <rPr>
        <sz val="11"/>
        <color theme="1"/>
        <rFont val="Aptos Narrow"/>
        <family val="2"/>
        <scheme val="minor"/>
      </rPr>
      <t>; ranged attack</t>
    </r>
  </si>
  <si>
    <t>Pilot has VDNI/neural interface; console Ready</t>
  </si>
  <si>
    <t>Ares Target Projection Suite</t>
  </si>
  <si>
    <t>Ignore 1 point of penalty from Attack movement. At lock, grants +1 gunnery die or +5 AR with ranged attacks</t>
  </si>
  <si>
    <r>
      <t xml:space="preserve">Disabled by </t>
    </r>
    <r>
      <rPr>
        <sz val="10"/>
        <color theme="1"/>
        <rFont val="Arial Unicode MS"/>
      </rPr>
      <t>sensorBlind or sensorDegraded.</t>
    </r>
  </si>
  <si>
    <r>
      <t xml:space="preserve">Disabled while </t>
    </r>
    <r>
      <rPr>
        <sz val="10"/>
        <color theme="1"/>
        <rFont val="Arial Unicode MS"/>
      </rPr>
      <t>sensorBlind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sensorDegraded</t>
    </r>
    <r>
      <rPr>
        <sz val="11"/>
        <color theme="1"/>
        <rFont val="Aptos Narrow"/>
        <family val="2"/>
        <scheme val="minor"/>
      </rPr>
      <t>.</t>
    </r>
  </si>
  <si>
    <r>
      <t xml:space="preserve">On head crit, neural feedback, </t>
    </r>
    <r>
      <rPr>
        <sz val="10"/>
        <color theme="1"/>
        <rFont val="Arial Unicode MS"/>
      </rPr>
      <t>sensorBlind</t>
    </r>
    <r>
      <rPr>
        <sz val="11"/>
        <color theme="1"/>
        <rFont val="Aptos Narrow"/>
        <family val="2"/>
        <scheme val="minor"/>
      </rPr>
      <t>, or head degradation, pilot suffers 1 Fatigue. If the console is disabled while active, pilot immediately suffers 3 fatigue from feedback.</t>
    </r>
  </si>
  <si>
    <r>
      <t xml:space="preserve">Reduces attack trackingPenalty by 1 against targets at </t>
    </r>
    <r>
      <rPr>
        <sz val="10"/>
        <color theme="1"/>
        <rFont val="Arial Unicode MS"/>
      </rPr>
      <t>track</t>
    </r>
    <r>
      <rPr>
        <sz val="11"/>
        <color theme="1"/>
        <rFont val="Aptos Narrow"/>
        <family val="2"/>
        <scheme val="minor"/>
      </rPr>
      <t xml:space="preserve"> or better. At </t>
    </r>
    <r>
      <rPr>
        <sz val="10"/>
        <color theme="1"/>
        <rFont val="Arial Unicode MS"/>
      </rPr>
      <t>lock</t>
    </r>
    <r>
      <rPr>
        <sz val="11"/>
        <color theme="1"/>
        <rFont val="Aptos Narrow"/>
        <family val="2"/>
        <scheme val="minor"/>
      </rPr>
      <t xml:space="preserve">, grants </t>
    </r>
    <r>
      <rPr>
        <sz val="10"/>
        <color theme="1"/>
        <rFont val="Arial Unicode MS"/>
      </rPr>
      <t>+5 AR</t>
    </r>
    <r>
      <rPr>
        <sz val="11"/>
        <color theme="1"/>
        <rFont val="Aptos Narrow"/>
        <family val="2"/>
        <scheme val="minor"/>
      </rPr>
      <t xml:space="preserve"> for attacks at Far/Extreme range.</t>
    </r>
  </si>
  <si>
    <t>+1 initiative; +1 die to Piloting; first additional reaction or extra SA in an activation generates 1 less Burn. Grant +1 die to breakLock and holdLink.</t>
  </si>
  <si>
    <t>Cockpit/Harm Provider</t>
  </si>
  <si>
    <t>Targeting/Attack Provider</t>
  </si>
  <si>
    <t>Targeting/Attack; Mobility Provider</t>
  </si>
  <si>
    <t xml:space="preserve">Packrat </t>
  </si>
  <si>
    <t>H-7</t>
  </si>
  <si>
    <t>Warrior</t>
  </si>
  <si>
    <t>VTOL</t>
  </si>
  <si>
    <t>Scorpion</t>
  </si>
  <si>
    <t>Tracked</t>
  </si>
  <si>
    <t>Hetzer</t>
  </si>
  <si>
    <t>Ambush</t>
  </si>
  <si>
    <t>Wheeled</t>
  </si>
  <si>
    <t>Condor</t>
  </si>
  <si>
    <t>Hover</t>
  </si>
  <si>
    <t>Vedette</t>
  </si>
  <si>
    <t>Patton</t>
  </si>
  <si>
    <t>Demolisher</t>
  </si>
  <si>
    <t>TR-7</t>
  </si>
  <si>
    <t>Thrush</t>
  </si>
  <si>
    <t>Interceptor</t>
  </si>
  <si>
    <t>Jet</t>
  </si>
  <si>
    <t>Corsair</t>
  </si>
  <si>
    <t>Aerospace</t>
  </si>
  <si>
    <t>F-90</t>
  </si>
  <si>
    <t>Stingray</t>
  </si>
  <si>
    <t>SL-17</t>
  </si>
  <si>
    <t>Shilone</t>
  </si>
  <si>
    <t>Multi-role</t>
  </si>
  <si>
    <t>CHP-WS</t>
  </si>
  <si>
    <t>Chippewa</t>
  </si>
  <si>
    <t>Bomber</t>
  </si>
  <si>
    <t>Slipper</t>
  </si>
  <si>
    <t>Cargo</t>
  </si>
  <si>
    <t>LX-series</t>
  </si>
  <si>
    <t>Bulldog</t>
  </si>
  <si>
    <t>Mao-Heng</t>
  </si>
  <si>
    <t>Cruiser</t>
  </si>
  <si>
    <t>Machine Quirks</t>
  </si>
  <si>
    <t>Heat disappation unaffected by environmental factors</t>
  </si>
  <si>
    <t>+1 heatProfile</t>
  </si>
  <si>
    <t>+1 heatDissapation</t>
  </si>
  <si>
    <t xml:space="preserve">Armor gains 2 Concussive Resistance </t>
  </si>
  <si>
    <t>Armor gains 2 Energy Resistance</t>
  </si>
  <si>
    <t>Armor gains 2 Penatrating Resistance</t>
  </si>
  <si>
    <t>Asset Modules</t>
  </si>
  <si>
    <t>Anti-Missile System</t>
  </si>
  <si>
    <t>Laser AMS</t>
  </si>
  <si>
    <t>Laser Heat Sinks</t>
  </si>
  <si>
    <t>Hardened Structural Components</t>
  </si>
  <si>
    <t>UAV Control Pod</t>
  </si>
  <si>
    <t>Missile Cluster Dice hit on 6</t>
  </si>
  <si>
    <t>High Emission: Enemies reduce trackingPenalty against this machine by 1, minimum 0. Enemies gain +1 die to acquireTarget against this machine when emissions are relevant.</t>
  </si>
  <si>
    <t>Status</t>
  </si>
  <si>
    <t>High Emission [Rating]</t>
  </si>
  <si>
    <t xml:space="preserve"> Enemies reduce trackingPenalty against this machine by [Rating], minimum 0. Enemies gain +[Rating] die to acquireTarget against this machine when emissions are relevant.</t>
  </si>
  <si>
    <t>High Emission (1)</t>
  </si>
  <si>
    <t>Volatile component or ammo explosion event</t>
  </si>
  <si>
    <t>CASE destroyed/consumed when it prevents a catastrophic event.</t>
  </si>
  <si>
    <t>Prevents full machine destruction and automatic crew death. Local location still suffers severe consequence: condition +1, stress spike, or module destruction.</t>
  </si>
  <si>
    <r>
      <t>+2 dice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feedReset</t>
    </r>
    <r>
      <rPr>
        <sz val="11"/>
        <color theme="1"/>
        <rFont val="Aptos Narrow"/>
        <family val="2"/>
        <scheme val="minor"/>
      </rPr>
      <t xml:space="preserve"> and other Feed-related remedies. Applies to Jammed Ballistic, Ammo Feed Fault, Weapon Supply Interruption, missile feed failures.</t>
    </r>
  </si>
  <si>
    <r>
      <t>+2 dice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powerReroute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systemReset</t>
    </r>
    <r>
      <rPr>
        <sz val="11"/>
        <color theme="1"/>
        <rFont val="Aptos Narrow"/>
        <family val="2"/>
        <scheme val="minor"/>
      </rPr>
      <t>, and power-routing remedies. Helps reactor instability, power bus outage, shutdown recovery where appropriate.</t>
    </r>
  </si>
  <si>
    <r>
      <t xml:space="preserve">Increase global machine shock/pressure capacity by </t>
    </r>
    <r>
      <rPr>
        <sz val="10"/>
        <color theme="1"/>
        <rFont val="Arial Unicode MS"/>
      </rPr>
      <t>+1</t>
    </r>
  </si>
  <si>
    <r>
      <t>Ablative Module:</t>
    </r>
    <r>
      <rPr>
        <sz val="11"/>
        <color theme="1"/>
        <rFont val="Aptos Narrow"/>
        <family val="2"/>
        <scheme val="minor"/>
      </rPr>
      <t xml:space="preserve"> drops to Resistance 1 at 50% armor remaining; destroyed at 25% armor remaining.</t>
    </r>
  </si>
  <si>
    <t>Armor &gt; 0</t>
  </si>
  <si>
    <t>Gains High Emission (1) when Heat Status not SAFE</t>
  </si>
  <si>
    <t>armorResistance</t>
  </si>
  <si>
    <t>heatDissipation</t>
  </si>
  <si>
    <t>heatBuffer</t>
  </si>
  <si>
    <t>structure</t>
  </si>
  <si>
    <t>remediation</t>
  </si>
  <si>
    <t>Ready; not Prone/immobile; charge available</t>
  </si>
  <si>
    <t>Ready; Structure remaining &lt; 100%</t>
  </si>
  <si>
    <t>Immediately reduce heat, -5 heat</t>
  </si>
  <si>
    <t>Consume on use</t>
  </si>
  <si>
    <t>Heat &gt; 0; Coolant systems functional</t>
  </si>
  <si>
    <t>At the start of the activation, recover 2 armor damage</t>
  </si>
  <si>
    <t>10 charges then asset destroyed/consumed</t>
  </si>
  <si>
    <t>Actuator Enhancement System</t>
  </si>
  <si>
    <r>
      <t xml:space="preserve">+3 DR; Grants </t>
    </r>
    <r>
      <rPr>
        <b/>
        <sz val="11"/>
        <color theme="1"/>
        <rFont val="Aptos Narrow"/>
        <family val="2"/>
        <scheme val="minor"/>
      </rPr>
      <t>Shield Block</t>
    </r>
    <r>
      <rPr>
        <sz val="11"/>
        <color theme="1"/>
        <rFont val="Aptos Narrow"/>
        <family val="2"/>
        <scheme val="minor"/>
      </rPr>
      <t xml:space="preserve"> reaction: Reduce incoming damage by 1</t>
    </r>
  </si>
  <si>
    <t>-5 AR for limb-mounted weapons; 5 Shield Block charges - asset disabled when out of charges</t>
  </si>
  <si>
    <t>Ready; heat sinks functional</t>
  </si>
  <si>
    <t>Ready</t>
  </si>
  <si>
    <t>10 Charges</t>
  </si>
  <si>
    <t>Incoming missile/cluster attack; charges available</t>
  </si>
  <si>
    <t>Incoming missile/cluster attack</t>
  </si>
  <si>
    <t>consumable</t>
  </si>
  <si>
    <t>autoRepair, consumable</t>
  </si>
  <si>
    <t>Free Action to jump 180 meters (or add +180 meters to a Jump Move)</t>
  </si>
  <si>
    <t>1 charge, 3 turn recovery; Use generates +1 heat</t>
  </si>
  <si>
    <t>High Emission (1) while in use, FA to sustain lock</t>
  </si>
  <si>
    <r>
      <t xml:space="preserve">Target at </t>
    </r>
    <r>
      <rPr>
        <sz val="10"/>
        <color theme="1"/>
        <rFont val="Arial Unicode MS"/>
      </rPr>
      <t>contact</t>
    </r>
    <r>
      <rPr>
        <sz val="11"/>
        <color theme="1"/>
        <rFont val="Aptos Narrow"/>
        <family val="2"/>
        <scheme val="minor"/>
      </rPr>
      <t xml:space="preserve"> or better; Line of Sight - successful TAG action</t>
    </r>
  </si>
  <si>
    <t>Target TAGged - Sensor Locked, generateTargetData against TAGged enemy is a Free Action</t>
  </si>
  <si>
    <t>NARC Attack hits target; beacon attached</t>
  </si>
  <si>
    <t>Attach NARC Beacon - NARCed target counts as Sensor Locked only for compatible guided missile systems., Beacon carrier trackingPenalty reduced by 3</t>
  </si>
  <si>
    <t>UAV Active and not jammed</t>
  </si>
  <si>
    <t>C3 Active</t>
  </si>
  <si>
    <r>
      <t xml:space="preserve">Friendly C3 units may use the best friendly detection state on a target, capped at </t>
    </r>
    <r>
      <rPr>
        <sz val="10"/>
        <color theme="1"/>
        <rFont val="Arial Unicode MS"/>
      </rPr>
      <t>track</t>
    </r>
    <r>
      <rPr>
        <sz val="11"/>
        <color theme="1"/>
        <rFont val="Aptos Narrow"/>
        <family val="2"/>
        <scheme val="minor"/>
      </rPr>
      <t xml:space="preserve"> unless the attacker also has direct </t>
    </r>
    <r>
      <rPr>
        <sz val="10"/>
        <color theme="1"/>
        <rFont val="Arial Unicode MS"/>
      </rPr>
      <t>lock</t>
    </r>
    <r>
      <rPr>
        <sz val="11"/>
        <color theme="1"/>
        <rFont val="Aptos Narrow"/>
        <family val="2"/>
        <scheme val="minor"/>
      </rPr>
      <t>. May use best shared targetingData packet from the network, not stacked.</t>
    </r>
  </si>
  <si>
    <r>
      <t>network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targetingData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sharedSensors</t>
    </r>
  </si>
  <si>
    <r>
      <t>network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uav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remoteSensor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eyeInSky</t>
    </r>
  </si>
  <si>
    <r>
      <t>network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command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intelligence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initiative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coordination</t>
    </r>
  </si>
  <si>
    <t>Suppressed by IFF Jammer/network disruption</t>
  </si>
  <si>
    <t>All friendly SLIC units have +1 initiative; Grants +1 die to acquireTarget, sensorSweep, holdLink, breakLock, generateTargetData to all friendly units within 500m</t>
  </si>
  <si>
    <r>
      <t xml:space="preserve">Provides passive battlefield overwatch. Grants </t>
    </r>
    <r>
      <rPr>
        <sz val="10"/>
        <color theme="1"/>
        <rFont val="Arial Unicode MS"/>
      </rPr>
      <t>+1 die</t>
    </r>
    <r>
      <rPr>
        <sz val="11"/>
        <color theme="1"/>
        <rFont val="Aptos Narrow"/>
        <family val="2"/>
        <scheme val="minor"/>
      </rPr>
      <t xml:space="preserve"> to Acquire Target / Sensor Sweep. Can maintain </t>
    </r>
    <r>
      <rPr>
        <sz val="10"/>
        <color theme="1"/>
        <rFont val="Arial Unicode MS"/>
      </rPr>
      <t>contact</t>
    </r>
    <r>
      <rPr>
        <sz val="11"/>
        <color theme="1"/>
        <rFont val="Aptos Narrow"/>
        <family val="2"/>
        <scheme val="minor"/>
      </rPr>
      <t xml:space="preserve"> on visible enemies in UAV coverage. Grants +2 dice to Piloting checks to cross hazardous terrain/mine fields . Removes indirect fire penalties for operator.</t>
    </r>
  </si>
  <si>
    <t>Tag Marked</t>
  </si>
  <si>
    <t>Narc Attached</t>
  </si>
  <si>
    <t>Blackout</t>
  </si>
  <si>
    <t xml:space="preserve">tier 3 sensor jamming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</si>
</sst>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_);_([$€-2]\ * \(#,##0\);_([$€-2]\ * &quot;-&quot;??_);_(@_)"/>
    <numFmt numFmtId="165" formatCode="_([$€-2]\ * #,##0_);_([$€-2]\ * \(#,##0\);_([$€-2]\ * &quot;-&quot;????_);_(@_)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164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horizontal="center" vertical="center"/>
    </xf>
    <xf numFmtId="165" fontId="1" fillId="2" borderId="0" xfId="0" applyNumberFormat="1" applyFont="1" applyFill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/>
    <xf numFmtId="0" fontId="4" fillId="0" borderId="0" xfId="0" applyFont="1"/>
    <xf numFmtId="0" fontId="4" fillId="0" borderId="0" xfId="0" applyFont="1" applyAlignment="1">
      <alignment vertical="center" wrapText="1"/>
    </xf>
    <xf numFmtId="0" fontId="0" fillId="4" borderId="0" xfId="0" applyFill="1"/>
    <xf numFmtId="0" fontId="2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49" fontId="0" fillId="0" borderId="0" xfId="0" applyNumberFormat="1" applyAlignment="1">
      <alignment horizontal="center" vertical="center" wrapText="1"/>
    </xf>
    <xf numFmtId="49" fontId="0" fillId="4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0" fillId="4" borderId="0" xfId="0" applyNumberFormat="1" applyFill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15">
    <dxf>
      <numFmt numFmtId="165" formatCode="_([$€-2]\ * #,##0_);_([$€-2]\ * \(#,##0\);_([$€-2]\ * &quot;-&quot;????_);_(@_)"/>
    </dxf>
    <dxf>
      <alignment horizontal="center" vertical="center" textRotation="0" wrapText="0" indent="0" justifyLastLine="0" shrinkToFit="0" readingOrder="0"/>
    </dxf>
    <dxf>
      <numFmt numFmtId="164" formatCode="_([$€-2]\ * #,##0_);_([$€-2]\ * \(#,##0\);_([$€-2]\ * &quot;-&quot;??_);_(@_)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1CAF6D-0208-4038-886B-5074FE9AD89F}" name="Table2" displayName="Table2" ref="A1:U54" totalsRowShown="0" headerRowDxfId="14">
  <autoFilter ref="A1:U54" xr:uid="{6E1CAF6D-0208-4038-886B-5074FE9AD8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99E7DF86-D7C0-49CC-8D73-AC2552E8FD6F}" name="Model"/>
    <tableColumn id="2" xr3:uid="{A0E8F771-705A-4F3C-B718-EE583E5DEEFD}" name="Designation"/>
    <tableColumn id="3" xr3:uid="{60B1183E-274E-4A08-AAB2-D385B8C660BC}" name="Weight Class"/>
    <tableColumn id="4" xr3:uid="{6DBF2415-F2A3-4C19-A8D4-E685B05EEAA3}" name="Tonnage" dataDxfId="13"/>
    <tableColumn id="5" xr3:uid="{1CB9D459-A39C-4402-B45A-DDADFA5D22EF}" name="Role"/>
    <tableColumn id="6" xr3:uid="{6FB569F8-DE48-400D-972E-32AA4638F32E}" name="Movement" dataDxfId="12"/>
    <tableColumn id="7" xr3:uid="{060221F4-9CD2-493C-A589-5AFA79F22A9D}" name="Jump" dataDxfId="11"/>
    <tableColumn id="8" xr3:uid="{984550C1-15E2-48D3-B147-91E7C7986015}" name="Armor" dataDxfId="10"/>
    <tableColumn id="9" xr3:uid="{B72349A2-1DA5-49F2-B1BC-0A3328934E65}" name="Structure" dataDxfId="9"/>
    <tableColumn id="10" xr3:uid="{BDA830D9-B1BA-416B-B84D-9440BD00C757}" name="Heat Dissipation" dataDxfId="8"/>
    <tableColumn id="11" xr3:uid="{1882AD50-E1A1-4729-839F-58DAA4CFAE55}" name="Thermal Profile" dataDxfId="7"/>
    <tableColumn id="12" xr3:uid="{269284FF-C57C-4360-8BF9-4EE874395A7A}" name="Weapon Groups"/>
    <tableColumn id="13" xr3:uid="{01B03644-9157-421F-9613-BFC910F63E24}" name="Quirk"/>
    <tableColumn id="14" xr3:uid="{C1C33636-A054-41D9-8E1F-947C146ABE39}" name="Handling" dataDxfId="6"/>
    <tableColumn id="15" xr3:uid="{54BCA419-F4D3-45CA-A25D-8CC6D4A82955}" name="System" dataDxfId="5"/>
    <tableColumn id="16" xr3:uid="{D81E916F-7F83-4E24-A792-A34498F134BD}" name="Chassis" dataDxfId="4"/>
    <tableColumn id="17" xr3:uid="{A01C96FC-347B-4D67-8B70-97F7B0DCC1CC}" name="Reliability" dataDxfId="3"/>
    <tableColumn id="18" xr3:uid="{A34999C4-6145-4324-9CD5-ECA43D0A40DA}" name="C-Bills" dataDxfId="2"/>
    <tableColumn id="19" xr3:uid="{E58EE8B7-3527-416F-89C7-C168D93114AA}" name="Point Cost" dataDxfId="1"/>
    <tableColumn id="20" xr3:uid="{71094815-E36D-4A55-B5AD-3C9E4B6BC59C}" name="Tags"/>
    <tableColumn id="21" xr3:uid="{4026F33E-50AD-4E08-B447-19387B8F9997}" name="Deploy Cost" dataDxfId="0">
      <calculatedColumnFormula>R2*0.0025</calculatedColumnFormula>
    </tableColumn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FFD4-FB15-4BD8-910B-EE32BF634ADE}">
  <dimension ref="A1:V113"/>
  <sheetViews>
    <sheetView tabSelected="1" topLeftCell="A16" workbookViewId="0">
      <pane xSplit="1" topLeftCell="B1" activePane="topRight" state="frozen"/>
      <selection pane="topRight" activeCell="F62" sqref="F62"/>
    </sheetView>
  </sheetViews>
  <sheetFormatPr defaultRowHeight="15"/>
  <cols>
    <col min="1" max="1" width="9.7109375" bestFit="1" customWidth="1"/>
    <col min="2" max="2" width="15.28515625" customWidth="1"/>
    <col min="3" max="3" width="14.42578125" customWidth="1"/>
    <col min="4" max="4" width="10.7109375" customWidth="1"/>
    <col min="5" max="5" width="11.5703125" bestFit="1" customWidth="1"/>
    <col min="6" max="6" width="12.140625" customWidth="1"/>
    <col min="7" max="7" width="10" customWidth="1"/>
    <col min="8" max="8" width="8.5703125" customWidth="1"/>
    <col min="9" max="9" width="11" customWidth="1"/>
    <col min="10" max="10" width="17.7109375" customWidth="1"/>
    <col min="11" max="11" width="22.140625" customWidth="1"/>
    <col min="12" max="12" width="17.28515625" hidden="1" customWidth="1"/>
    <col min="13" max="13" width="0" hidden="1" customWidth="1"/>
    <col min="14" max="14" width="11.140625" customWidth="1"/>
    <col min="15" max="15" width="9.28515625" customWidth="1"/>
    <col min="16" max="16" width="10.140625" customWidth="1"/>
    <col min="17" max="17" width="11.85546875" customWidth="1"/>
    <col min="18" max="18" width="16.7109375" style="3" bestFit="1" customWidth="1"/>
    <col min="19" max="19" width="12" style="4" customWidth="1"/>
    <col min="20" max="20" width="9.140625" customWidth="1"/>
    <col min="21" max="21" width="13.140625" bestFit="1" customWidth="1"/>
  </cols>
  <sheetData>
    <row r="1" spans="1:22">
      <c r="A1" s="1" t="s">
        <v>8</v>
      </c>
      <c r="B1" s="1" t="s">
        <v>9</v>
      </c>
      <c r="C1" s="1" t="s">
        <v>1</v>
      </c>
      <c r="D1" s="1" t="s">
        <v>2</v>
      </c>
      <c r="E1" s="1" t="s">
        <v>72</v>
      </c>
      <c r="F1" s="1" t="s">
        <v>3</v>
      </c>
      <c r="G1" s="1" t="s">
        <v>134</v>
      </c>
      <c r="H1" s="1" t="s">
        <v>4</v>
      </c>
      <c r="I1" s="1" t="s">
        <v>5</v>
      </c>
      <c r="J1" s="1" t="s">
        <v>6</v>
      </c>
      <c r="K1" s="1" t="s">
        <v>133</v>
      </c>
      <c r="L1" s="1" t="s">
        <v>7</v>
      </c>
      <c r="M1" s="1" t="s">
        <v>13</v>
      </c>
      <c r="N1" s="1" t="s">
        <v>17</v>
      </c>
      <c r="O1" s="1" t="s">
        <v>18</v>
      </c>
      <c r="P1" s="1" t="s">
        <v>0</v>
      </c>
      <c r="Q1" s="1" t="s">
        <v>19</v>
      </c>
      <c r="R1" s="2" t="s">
        <v>14</v>
      </c>
      <c r="S1" s="4" t="s">
        <v>15</v>
      </c>
      <c r="T1" s="1" t="s">
        <v>16</v>
      </c>
      <c r="U1" s="1" t="s">
        <v>182</v>
      </c>
      <c r="V1" s="1"/>
    </row>
    <row r="2" spans="1:22">
      <c r="A2" t="s">
        <v>10</v>
      </c>
      <c r="B2" t="s">
        <v>11</v>
      </c>
      <c r="C2" t="s">
        <v>12</v>
      </c>
      <c r="D2" s="1">
        <v>20</v>
      </c>
      <c r="E2" t="s">
        <v>62</v>
      </c>
      <c r="F2" s="1">
        <v>240</v>
      </c>
      <c r="G2" s="1" t="s">
        <v>136</v>
      </c>
      <c r="H2" s="12">
        <v>14</v>
      </c>
      <c r="I2" s="12">
        <v>7</v>
      </c>
      <c r="J2" s="12">
        <v>2</v>
      </c>
      <c r="K2" s="12" t="s">
        <v>143</v>
      </c>
      <c r="N2" s="12">
        <v>6</v>
      </c>
      <c r="O2" s="12">
        <v>2</v>
      </c>
      <c r="P2" s="1">
        <v>3</v>
      </c>
      <c r="Q2" s="12">
        <v>2</v>
      </c>
      <c r="R2" s="3">
        <v>1511200</v>
      </c>
      <c r="S2" s="4">
        <v>18</v>
      </c>
      <c r="U2" s="5">
        <f>R2*0.0025</f>
        <v>3778</v>
      </c>
    </row>
    <row r="3" spans="1:22">
      <c r="A3" t="s">
        <v>20</v>
      </c>
      <c r="B3" t="s">
        <v>21</v>
      </c>
      <c r="C3" t="s">
        <v>12</v>
      </c>
      <c r="D3" s="1">
        <v>20</v>
      </c>
      <c r="E3" t="s">
        <v>62</v>
      </c>
      <c r="F3" s="1">
        <v>180</v>
      </c>
      <c r="G3" s="1" t="s">
        <v>135</v>
      </c>
      <c r="H3" s="12">
        <v>15</v>
      </c>
      <c r="I3" s="12">
        <v>7</v>
      </c>
      <c r="J3" s="12">
        <v>3</v>
      </c>
      <c r="K3" s="12" t="s">
        <v>147</v>
      </c>
      <c r="N3" s="12">
        <v>5</v>
      </c>
      <c r="O3" s="12">
        <v>3</v>
      </c>
      <c r="P3" s="1">
        <v>3</v>
      </c>
      <c r="Q3" s="12">
        <v>2</v>
      </c>
      <c r="R3" s="3">
        <v>1614240</v>
      </c>
      <c r="S3" s="4">
        <v>14</v>
      </c>
      <c r="U3" s="5">
        <f t="shared" ref="U3:U54" si="0">R3*0.0025</f>
        <v>4035.6</v>
      </c>
    </row>
    <row r="4" spans="1:22">
      <c r="A4" t="s">
        <v>229</v>
      </c>
      <c r="B4" t="s">
        <v>230</v>
      </c>
      <c r="C4" t="s">
        <v>12</v>
      </c>
      <c r="D4" s="1">
        <v>20</v>
      </c>
      <c r="E4" t="s">
        <v>69</v>
      </c>
      <c r="F4" s="1">
        <v>180</v>
      </c>
      <c r="G4" s="1" t="s">
        <v>136</v>
      </c>
      <c r="H4" s="12">
        <v>17</v>
      </c>
      <c r="I4" s="1">
        <v>7</v>
      </c>
      <c r="J4" s="12">
        <v>2</v>
      </c>
      <c r="K4" s="12" t="s">
        <v>143</v>
      </c>
      <c r="N4" s="12">
        <v>4</v>
      </c>
      <c r="O4" s="12">
        <v>3</v>
      </c>
      <c r="P4" s="1">
        <v>3</v>
      </c>
      <c r="Q4" s="12">
        <v>3</v>
      </c>
      <c r="R4" s="3">
        <v>499</v>
      </c>
      <c r="S4" s="4">
        <v>23</v>
      </c>
      <c r="U4" s="5">
        <f>R4*0.0025</f>
        <v>1.2475000000000001</v>
      </c>
    </row>
    <row r="5" spans="1:22">
      <c r="A5" t="s">
        <v>22</v>
      </c>
      <c r="B5" t="s">
        <v>23</v>
      </c>
      <c r="C5" t="s">
        <v>12</v>
      </c>
      <c r="D5" s="1">
        <v>25</v>
      </c>
      <c r="E5" t="s">
        <v>69</v>
      </c>
      <c r="F5" s="1">
        <v>180</v>
      </c>
      <c r="G5" s="1" t="s">
        <v>136</v>
      </c>
      <c r="H5" s="12">
        <v>19</v>
      </c>
      <c r="I5" s="1">
        <v>9</v>
      </c>
      <c r="J5" s="12">
        <v>3</v>
      </c>
      <c r="K5" s="12" t="s">
        <v>143</v>
      </c>
      <c r="N5" s="12">
        <v>5</v>
      </c>
      <c r="O5" s="12">
        <v>2</v>
      </c>
      <c r="P5" s="1">
        <v>3</v>
      </c>
      <c r="Q5" s="12">
        <v>3</v>
      </c>
      <c r="R5" s="3">
        <v>1823750</v>
      </c>
      <c r="S5" s="4">
        <v>17</v>
      </c>
      <c r="U5" s="5">
        <f t="shared" si="0"/>
        <v>4559.375</v>
      </c>
    </row>
    <row r="6" spans="1:22">
      <c r="A6" t="s">
        <v>49</v>
      </c>
      <c r="B6" t="s">
        <v>50</v>
      </c>
      <c r="C6" t="s">
        <v>12</v>
      </c>
      <c r="D6" s="1">
        <v>25</v>
      </c>
      <c r="E6" t="s">
        <v>62</v>
      </c>
      <c r="F6" s="1">
        <v>270</v>
      </c>
      <c r="G6" s="1" t="s">
        <v>136</v>
      </c>
      <c r="H6" s="12">
        <v>16</v>
      </c>
      <c r="I6" s="1">
        <v>9</v>
      </c>
      <c r="J6" s="12">
        <v>3</v>
      </c>
      <c r="K6" s="12" t="s">
        <v>160</v>
      </c>
      <c r="N6" s="12">
        <v>6</v>
      </c>
      <c r="O6" s="12">
        <v>4</v>
      </c>
      <c r="P6" s="1">
        <v>3</v>
      </c>
      <c r="Q6" s="12">
        <v>3</v>
      </c>
      <c r="R6" s="3">
        <v>2229479</v>
      </c>
      <c r="S6" s="4">
        <v>30</v>
      </c>
      <c r="U6" s="5">
        <f t="shared" si="0"/>
        <v>5573.6975000000002</v>
      </c>
    </row>
    <row r="7" spans="1:22">
      <c r="A7" t="s">
        <v>227</v>
      </c>
      <c r="B7" t="s">
        <v>228</v>
      </c>
      <c r="C7" t="s">
        <v>12</v>
      </c>
      <c r="D7" s="1">
        <v>30</v>
      </c>
      <c r="E7" t="s">
        <v>62</v>
      </c>
      <c r="F7" s="1">
        <v>180</v>
      </c>
      <c r="G7" s="1" t="s">
        <v>135</v>
      </c>
      <c r="H7" s="12">
        <v>17</v>
      </c>
      <c r="I7" s="12">
        <v>11</v>
      </c>
      <c r="J7" s="12">
        <v>3</v>
      </c>
      <c r="K7" s="12" t="s">
        <v>147</v>
      </c>
      <c r="N7" s="12">
        <v>5</v>
      </c>
      <c r="O7" s="12">
        <v>3</v>
      </c>
      <c r="P7" s="1">
        <v>3</v>
      </c>
      <c r="Q7" s="12">
        <v>2</v>
      </c>
      <c r="R7" s="3">
        <v>3464370</v>
      </c>
      <c r="S7" s="4">
        <v>14</v>
      </c>
      <c r="U7" s="5">
        <f>R7*0.0025</f>
        <v>8660.9249999999993</v>
      </c>
    </row>
    <row r="8" spans="1:22">
      <c r="A8" t="s">
        <v>24</v>
      </c>
      <c r="B8" t="s">
        <v>25</v>
      </c>
      <c r="C8" t="s">
        <v>12</v>
      </c>
      <c r="D8" s="1">
        <v>30</v>
      </c>
      <c r="E8" t="s">
        <v>65</v>
      </c>
      <c r="F8" s="1">
        <v>150</v>
      </c>
      <c r="G8" s="1" t="s">
        <v>135</v>
      </c>
      <c r="H8" s="12">
        <v>21</v>
      </c>
      <c r="I8" s="1">
        <v>11</v>
      </c>
      <c r="J8" s="12">
        <v>3</v>
      </c>
      <c r="K8" s="12" t="s">
        <v>160</v>
      </c>
      <c r="N8" s="12">
        <v>4</v>
      </c>
      <c r="O8" s="12">
        <v>3</v>
      </c>
      <c r="P8" s="1">
        <v>3</v>
      </c>
      <c r="Q8" s="12">
        <v>3</v>
      </c>
      <c r="R8" s="3">
        <v>2166320</v>
      </c>
      <c r="S8" s="4">
        <v>22</v>
      </c>
      <c r="U8" s="5">
        <f t="shared" si="0"/>
        <v>5415.8</v>
      </c>
    </row>
    <row r="9" spans="1:22">
      <c r="A9" t="s">
        <v>44</v>
      </c>
      <c r="B9" t="s">
        <v>38</v>
      </c>
      <c r="C9" t="s">
        <v>12</v>
      </c>
      <c r="D9" s="1">
        <v>30</v>
      </c>
      <c r="E9" t="s">
        <v>64</v>
      </c>
      <c r="F9" s="1">
        <v>240</v>
      </c>
      <c r="G9" s="1" t="s">
        <v>136</v>
      </c>
      <c r="H9" s="12">
        <v>14</v>
      </c>
      <c r="I9" s="1">
        <v>11</v>
      </c>
      <c r="J9" s="12">
        <v>3</v>
      </c>
      <c r="K9" s="12" t="s">
        <v>147</v>
      </c>
      <c r="N9" s="12">
        <v>6</v>
      </c>
      <c r="O9" s="12">
        <v>2</v>
      </c>
      <c r="P9" s="1">
        <v>3</v>
      </c>
      <c r="Q9" s="12">
        <v>2</v>
      </c>
      <c r="R9" s="3">
        <v>2701270</v>
      </c>
      <c r="S9" s="4">
        <v>25</v>
      </c>
      <c r="U9" s="5">
        <f t="shared" si="0"/>
        <v>6753.1750000000002</v>
      </c>
    </row>
    <row r="10" spans="1:22">
      <c r="A10" t="s">
        <v>45</v>
      </c>
      <c r="B10" t="s">
        <v>39</v>
      </c>
      <c r="C10" t="s">
        <v>12</v>
      </c>
      <c r="D10" s="1">
        <v>30</v>
      </c>
      <c r="E10" t="s">
        <v>65</v>
      </c>
      <c r="F10" s="1">
        <v>180</v>
      </c>
      <c r="G10" s="1" t="s">
        <v>135</v>
      </c>
      <c r="H10" s="12">
        <v>18</v>
      </c>
      <c r="I10" s="1">
        <v>11</v>
      </c>
      <c r="J10" s="12">
        <v>2</v>
      </c>
      <c r="K10" s="12" t="s">
        <v>185</v>
      </c>
      <c r="N10" s="12">
        <v>5</v>
      </c>
      <c r="O10" s="12">
        <v>2</v>
      </c>
      <c r="P10" s="1">
        <v>3</v>
      </c>
      <c r="Q10" s="12">
        <v>2</v>
      </c>
      <c r="R10" s="3">
        <v>2265640</v>
      </c>
      <c r="S10" s="4">
        <v>19</v>
      </c>
      <c r="U10" s="5">
        <f t="shared" si="0"/>
        <v>5664.1</v>
      </c>
    </row>
    <row r="11" spans="1:22">
      <c r="A11" t="s">
        <v>46</v>
      </c>
      <c r="B11" t="s">
        <v>40</v>
      </c>
      <c r="C11" t="s">
        <v>12</v>
      </c>
      <c r="D11" s="1">
        <v>30</v>
      </c>
      <c r="E11" t="s">
        <v>62</v>
      </c>
      <c r="F11" s="1">
        <v>240</v>
      </c>
      <c r="G11" s="1" t="s">
        <v>135</v>
      </c>
      <c r="H11" s="12">
        <v>15</v>
      </c>
      <c r="I11" s="12">
        <v>11</v>
      </c>
      <c r="J11" s="12">
        <v>3</v>
      </c>
      <c r="K11" s="12" t="s">
        <v>160</v>
      </c>
      <c r="N11" s="12">
        <v>6</v>
      </c>
      <c r="O11" s="12">
        <v>3</v>
      </c>
      <c r="P11" s="1">
        <v>3</v>
      </c>
      <c r="Q11" s="12">
        <v>3</v>
      </c>
      <c r="R11" s="3">
        <v>2942290</v>
      </c>
      <c r="S11" s="4">
        <v>21</v>
      </c>
      <c r="U11" s="5">
        <f t="shared" si="0"/>
        <v>7355.7250000000004</v>
      </c>
    </row>
    <row r="12" spans="1:22">
      <c r="A12" t="s">
        <v>47</v>
      </c>
      <c r="B12" t="s">
        <v>41</v>
      </c>
      <c r="C12" t="s">
        <v>12</v>
      </c>
      <c r="D12" s="1">
        <v>35</v>
      </c>
      <c r="E12" t="s">
        <v>66</v>
      </c>
      <c r="F12" s="1">
        <v>120</v>
      </c>
      <c r="G12" s="1" t="s">
        <v>135</v>
      </c>
      <c r="H12" s="12">
        <v>22</v>
      </c>
      <c r="I12" s="12">
        <v>13</v>
      </c>
      <c r="J12" s="12">
        <v>4</v>
      </c>
      <c r="K12" s="12" t="s">
        <v>160</v>
      </c>
      <c r="N12" s="12">
        <v>3</v>
      </c>
      <c r="O12" s="12">
        <v>4</v>
      </c>
      <c r="P12" s="1">
        <v>3</v>
      </c>
      <c r="Q12" s="12">
        <v>4</v>
      </c>
      <c r="R12" s="3">
        <v>2449260</v>
      </c>
      <c r="S12" s="4">
        <v>19</v>
      </c>
      <c r="U12" s="5">
        <f t="shared" si="0"/>
        <v>6123.1500000000005</v>
      </c>
    </row>
    <row r="13" spans="1:22">
      <c r="A13" t="s">
        <v>48</v>
      </c>
      <c r="B13" t="s">
        <v>42</v>
      </c>
      <c r="C13" t="s">
        <v>12</v>
      </c>
      <c r="D13" s="1">
        <v>35</v>
      </c>
      <c r="E13" t="s">
        <v>67</v>
      </c>
      <c r="F13" s="1">
        <v>150</v>
      </c>
      <c r="G13" s="1" t="s">
        <v>136</v>
      </c>
      <c r="H13" s="12">
        <v>20</v>
      </c>
      <c r="I13" s="12">
        <v>13</v>
      </c>
      <c r="J13" s="12">
        <v>3</v>
      </c>
      <c r="K13" s="12" t="s">
        <v>160</v>
      </c>
      <c r="N13" s="12">
        <v>4</v>
      </c>
      <c r="O13" s="12">
        <v>6</v>
      </c>
      <c r="P13" s="1">
        <v>3</v>
      </c>
      <c r="Q13" s="12">
        <v>3</v>
      </c>
      <c r="R13" s="3">
        <v>2514825</v>
      </c>
      <c r="S13" s="4">
        <v>24</v>
      </c>
      <c r="U13" s="5">
        <f t="shared" si="0"/>
        <v>6287.0625</v>
      </c>
    </row>
    <row r="14" spans="1:22">
      <c r="A14" t="s">
        <v>73</v>
      </c>
      <c r="B14" t="s">
        <v>43</v>
      </c>
      <c r="C14" t="s">
        <v>12</v>
      </c>
      <c r="D14" s="1">
        <v>35</v>
      </c>
      <c r="E14" t="s">
        <v>63</v>
      </c>
      <c r="F14" s="1">
        <v>180</v>
      </c>
      <c r="G14" s="1" t="s">
        <v>136</v>
      </c>
      <c r="H14" s="12">
        <v>24</v>
      </c>
      <c r="I14" s="12">
        <v>13</v>
      </c>
      <c r="J14" s="12">
        <v>4</v>
      </c>
      <c r="K14" s="12" t="s">
        <v>164</v>
      </c>
      <c r="N14" s="12">
        <v>4</v>
      </c>
      <c r="O14" s="12">
        <v>4</v>
      </c>
      <c r="P14" s="1">
        <v>3</v>
      </c>
      <c r="Q14" s="12">
        <v>5</v>
      </c>
      <c r="R14" s="6">
        <v>2925180</v>
      </c>
      <c r="S14" s="7">
        <v>24</v>
      </c>
      <c r="T14" s="8"/>
      <c r="U14" s="9">
        <f t="shared" si="0"/>
        <v>7312.95</v>
      </c>
    </row>
    <row r="15" spans="1:22">
      <c r="A15" s="16"/>
      <c r="B15" s="16"/>
      <c r="C15" s="16"/>
      <c r="D15" s="17"/>
      <c r="E15" s="16"/>
      <c r="F15" s="17"/>
      <c r="G15" s="17"/>
      <c r="H15" s="17"/>
      <c r="I15" s="17"/>
      <c r="J15" s="16"/>
      <c r="K15" s="17"/>
      <c r="L15" s="16"/>
      <c r="M15" s="16"/>
      <c r="N15" s="17"/>
      <c r="O15" s="17"/>
      <c r="P15" s="17"/>
      <c r="Q15" s="17"/>
      <c r="R15" s="18"/>
      <c r="S15" s="19"/>
      <c r="T15" s="16"/>
      <c r="U15" s="20">
        <f>AVERAGE(R2:R14)</f>
        <v>2200640.230769231</v>
      </c>
    </row>
    <row r="16" spans="1:22">
      <c r="A16" t="s">
        <v>51</v>
      </c>
      <c r="B16" t="s">
        <v>52</v>
      </c>
      <c r="C16" t="s">
        <v>28</v>
      </c>
      <c r="D16" s="1">
        <v>40</v>
      </c>
      <c r="E16" t="s">
        <v>62</v>
      </c>
      <c r="F16" s="1">
        <v>240</v>
      </c>
      <c r="G16" s="1" t="s">
        <v>136</v>
      </c>
      <c r="H16" s="12">
        <v>15</v>
      </c>
      <c r="I16" s="12">
        <v>14</v>
      </c>
      <c r="J16" s="12">
        <v>3</v>
      </c>
      <c r="K16" s="12" t="s">
        <v>147</v>
      </c>
      <c r="N16" s="12">
        <v>6</v>
      </c>
      <c r="O16" s="12">
        <v>2</v>
      </c>
      <c r="P16" s="1">
        <v>4</v>
      </c>
      <c r="Q16" s="12">
        <v>2</v>
      </c>
      <c r="R16" s="3">
        <v>3692967</v>
      </c>
      <c r="S16" s="4">
        <v>22</v>
      </c>
      <c r="U16" s="5">
        <f t="shared" si="0"/>
        <v>9232.4174999999996</v>
      </c>
    </row>
    <row r="17" spans="1:21">
      <c r="A17" t="s">
        <v>53</v>
      </c>
      <c r="B17" t="s">
        <v>54</v>
      </c>
      <c r="C17" t="s">
        <v>28</v>
      </c>
      <c r="D17" s="1">
        <v>40</v>
      </c>
      <c r="E17" t="s">
        <v>70</v>
      </c>
      <c r="F17" s="1">
        <v>180</v>
      </c>
      <c r="G17" s="1" t="s">
        <v>135</v>
      </c>
      <c r="H17" s="12">
        <v>20</v>
      </c>
      <c r="I17" s="12">
        <v>14</v>
      </c>
      <c r="J17" s="12">
        <v>3</v>
      </c>
      <c r="K17" s="12" t="s">
        <v>160</v>
      </c>
      <c r="N17" s="12">
        <v>5</v>
      </c>
      <c r="O17" s="12">
        <v>2</v>
      </c>
      <c r="P17" s="1">
        <v>4</v>
      </c>
      <c r="Q17" s="12">
        <v>3</v>
      </c>
      <c r="R17" s="3">
        <v>7135100</v>
      </c>
      <c r="S17" s="4">
        <v>29</v>
      </c>
      <c r="U17" s="5">
        <f t="shared" si="0"/>
        <v>17837.75</v>
      </c>
    </row>
    <row r="18" spans="1:21">
      <c r="A18" t="s">
        <v>56</v>
      </c>
      <c r="B18" t="s">
        <v>55</v>
      </c>
      <c r="C18" t="s">
        <v>28</v>
      </c>
      <c r="D18" s="1">
        <v>45</v>
      </c>
      <c r="E18" t="s">
        <v>66</v>
      </c>
      <c r="F18" s="1">
        <v>120</v>
      </c>
      <c r="G18" s="1" t="s">
        <v>136</v>
      </c>
      <c r="H18" s="12">
        <v>25</v>
      </c>
      <c r="I18" s="12">
        <v>15</v>
      </c>
      <c r="J18" s="12">
        <v>2</v>
      </c>
      <c r="K18" s="12" t="s">
        <v>143</v>
      </c>
      <c r="N18" s="12">
        <v>3</v>
      </c>
      <c r="O18" s="12">
        <v>4</v>
      </c>
      <c r="P18" s="1">
        <v>4</v>
      </c>
      <c r="Q18" s="12">
        <v>3</v>
      </c>
      <c r="R18" s="3">
        <v>3145775</v>
      </c>
      <c r="S18" s="4">
        <v>26</v>
      </c>
      <c r="U18" s="5">
        <f t="shared" si="0"/>
        <v>7864.4375</v>
      </c>
    </row>
    <row r="19" spans="1:21">
      <c r="A19" t="s">
        <v>26</v>
      </c>
      <c r="B19" t="s">
        <v>27</v>
      </c>
      <c r="C19" t="s">
        <v>28</v>
      </c>
      <c r="D19" s="1">
        <v>45</v>
      </c>
      <c r="E19" t="s">
        <v>62</v>
      </c>
      <c r="F19" s="1">
        <v>180</v>
      </c>
      <c r="G19" s="1" t="s">
        <v>135</v>
      </c>
      <c r="H19" s="12">
        <v>25</v>
      </c>
      <c r="I19" s="12">
        <v>15</v>
      </c>
      <c r="J19" s="12">
        <v>4</v>
      </c>
      <c r="K19" s="12" t="s">
        <v>160</v>
      </c>
      <c r="N19" s="12">
        <v>6</v>
      </c>
      <c r="O19" s="12">
        <v>4</v>
      </c>
      <c r="P19" s="1">
        <v>4</v>
      </c>
      <c r="Q19" s="12">
        <v>3</v>
      </c>
      <c r="R19" s="3">
        <v>4066090</v>
      </c>
      <c r="S19" s="4">
        <v>26</v>
      </c>
      <c r="U19" s="5">
        <f t="shared" si="0"/>
        <v>10165.225</v>
      </c>
    </row>
    <row r="20" spans="1:21">
      <c r="A20" t="s">
        <v>57</v>
      </c>
      <c r="B20" t="s">
        <v>58</v>
      </c>
      <c r="C20" t="s">
        <v>28</v>
      </c>
      <c r="D20" s="1">
        <v>45</v>
      </c>
      <c r="E20" t="s">
        <v>63</v>
      </c>
      <c r="F20" s="1">
        <v>120</v>
      </c>
      <c r="G20" s="1" t="s">
        <v>166</v>
      </c>
      <c r="H20" s="12">
        <v>28</v>
      </c>
      <c r="I20" s="12">
        <v>15</v>
      </c>
      <c r="J20" s="12">
        <v>5</v>
      </c>
      <c r="K20" s="12" t="s">
        <v>160</v>
      </c>
      <c r="N20" s="12">
        <v>4</v>
      </c>
      <c r="O20" s="12">
        <v>4</v>
      </c>
      <c r="P20" s="1">
        <v>4</v>
      </c>
      <c r="Q20" s="12">
        <v>5</v>
      </c>
      <c r="R20" s="3">
        <v>3137583</v>
      </c>
      <c r="S20" s="4">
        <v>27</v>
      </c>
      <c r="U20" s="5">
        <f t="shared" si="0"/>
        <v>7843.9575000000004</v>
      </c>
    </row>
    <row r="21" spans="1:21">
      <c r="A21" t="s">
        <v>36</v>
      </c>
      <c r="B21" t="s">
        <v>35</v>
      </c>
      <c r="C21" t="s">
        <v>28</v>
      </c>
      <c r="D21" s="1">
        <v>50</v>
      </c>
      <c r="E21" t="s">
        <v>70</v>
      </c>
      <c r="F21" s="1">
        <v>120</v>
      </c>
      <c r="G21" s="1" t="s">
        <v>136</v>
      </c>
      <c r="H21" s="12">
        <v>33</v>
      </c>
      <c r="I21" s="12">
        <v>17</v>
      </c>
      <c r="J21" s="12">
        <v>3</v>
      </c>
      <c r="K21" s="12" t="s">
        <v>160</v>
      </c>
      <c r="N21" s="12">
        <v>4</v>
      </c>
      <c r="O21" s="12">
        <v>3</v>
      </c>
      <c r="P21" s="1">
        <v>4</v>
      </c>
      <c r="Q21" s="12">
        <v>5</v>
      </c>
      <c r="R21" s="3">
        <v>9448500</v>
      </c>
      <c r="S21" s="4">
        <v>28</v>
      </c>
      <c r="U21" s="5">
        <f t="shared" si="0"/>
        <v>23621.25</v>
      </c>
    </row>
    <row r="22" spans="1:21">
      <c r="A22" t="s">
        <v>37</v>
      </c>
      <c r="B22" t="s">
        <v>34</v>
      </c>
      <c r="C22" t="s">
        <v>28</v>
      </c>
      <c r="D22" s="1">
        <v>50</v>
      </c>
      <c r="E22" t="s">
        <v>71</v>
      </c>
      <c r="F22" s="1">
        <v>120</v>
      </c>
      <c r="G22" s="1" t="s">
        <v>136</v>
      </c>
      <c r="H22" s="12">
        <v>38</v>
      </c>
      <c r="I22" s="12">
        <v>17</v>
      </c>
      <c r="J22" s="12">
        <v>3</v>
      </c>
      <c r="K22" s="12" t="s">
        <v>155</v>
      </c>
      <c r="N22" s="12">
        <v>3</v>
      </c>
      <c r="O22" s="12">
        <v>2</v>
      </c>
      <c r="P22" s="1">
        <v>4</v>
      </c>
      <c r="Q22" s="12">
        <v>5</v>
      </c>
      <c r="R22" s="3">
        <v>3437875</v>
      </c>
      <c r="S22" s="4">
        <v>28</v>
      </c>
      <c r="U22" s="5">
        <f t="shared" si="0"/>
        <v>8594.6875</v>
      </c>
    </row>
    <row r="23" spans="1:21">
      <c r="A23" t="s">
        <v>60</v>
      </c>
      <c r="B23" t="s">
        <v>59</v>
      </c>
      <c r="C23" t="s">
        <v>28</v>
      </c>
      <c r="D23" s="1">
        <v>50</v>
      </c>
      <c r="E23" t="s">
        <v>64</v>
      </c>
      <c r="F23" s="1">
        <v>150</v>
      </c>
      <c r="G23" s="1" t="s">
        <v>135</v>
      </c>
      <c r="H23" s="12">
        <v>27</v>
      </c>
      <c r="I23" s="12">
        <v>17</v>
      </c>
      <c r="J23" s="12">
        <v>4</v>
      </c>
      <c r="K23" s="12" t="s">
        <v>164</v>
      </c>
      <c r="N23" s="12">
        <v>5</v>
      </c>
      <c r="O23" s="12">
        <v>5</v>
      </c>
      <c r="P23" s="1">
        <v>4</v>
      </c>
      <c r="Q23" s="12">
        <v>3</v>
      </c>
      <c r="R23" s="3">
        <v>4908125</v>
      </c>
      <c r="S23" s="4">
        <v>30</v>
      </c>
      <c r="U23" s="5">
        <f t="shared" si="0"/>
        <v>12270.3125</v>
      </c>
    </row>
    <row r="24" spans="1:21">
      <c r="A24" t="s">
        <v>75</v>
      </c>
      <c r="B24" t="s">
        <v>76</v>
      </c>
      <c r="C24" t="s">
        <v>28</v>
      </c>
      <c r="D24" s="1">
        <v>50</v>
      </c>
      <c r="E24" t="s">
        <v>69</v>
      </c>
      <c r="F24" s="1">
        <v>180</v>
      </c>
      <c r="G24" s="1" t="s">
        <v>135</v>
      </c>
      <c r="H24" s="12">
        <v>29</v>
      </c>
      <c r="I24" s="12">
        <v>17</v>
      </c>
      <c r="J24" s="12">
        <v>5</v>
      </c>
      <c r="K24" s="12" t="s">
        <v>164</v>
      </c>
      <c r="N24" s="12">
        <v>5</v>
      </c>
      <c r="O24" s="12">
        <v>5</v>
      </c>
      <c r="P24" s="1">
        <v>4</v>
      </c>
      <c r="Q24" s="12">
        <v>3</v>
      </c>
      <c r="R24" s="3">
        <v>9740250</v>
      </c>
      <c r="S24" s="4">
        <v>28</v>
      </c>
      <c r="U24" s="5">
        <f t="shared" si="0"/>
        <v>24350.625</v>
      </c>
    </row>
    <row r="25" spans="1:21">
      <c r="A25" t="s">
        <v>29</v>
      </c>
      <c r="B25" t="s">
        <v>30</v>
      </c>
      <c r="C25" t="s">
        <v>28</v>
      </c>
      <c r="D25" s="1">
        <v>55</v>
      </c>
      <c r="E25" t="s">
        <v>66</v>
      </c>
      <c r="F25" s="1">
        <v>150</v>
      </c>
      <c r="G25" s="1" t="s">
        <v>135</v>
      </c>
      <c r="H25" s="12">
        <v>29</v>
      </c>
      <c r="I25" s="12">
        <v>19</v>
      </c>
      <c r="J25" s="12">
        <v>4</v>
      </c>
      <c r="K25" s="12" t="s">
        <v>160</v>
      </c>
      <c r="N25" s="12">
        <v>4</v>
      </c>
      <c r="O25" s="12">
        <v>4</v>
      </c>
      <c r="P25" s="1">
        <v>4</v>
      </c>
      <c r="Q25" s="12">
        <v>5</v>
      </c>
      <c r="R25" s="3">
        <v>4864107</v>
      </c>
      <c r="S25" s="4">
        <v>31</v>
      </c>
      <c r="U25" s="5">
        <f t="shared" si="0"/>
        <v>12160.2675</v>
      </c>
    </row>
    <row r="26" spans="1:21">
      <c r="A26" t="s">
        <v>74</v>
      </c>
      <c r="B26" t="s">
        <v>31</v>
      </c>
      <c r="C26" t="s">
        <v>28</v>
      </c>
      <c r="D26" s="1">
        <v>55</v>
      </c>
      <c r="E26" t="s">
        <v>69</v>
      </c>
      <c r="F26" s="1">
        <v>150</v>
      </c>
      <c r="G26" s="1" t="s">
        <v>135</v>
      </c>
      <c r="H26" s="12">
        <v>31</v>
      </c>
      <c r="I26" s="12">
        <v>19</v>
      </c>
      <c r="J26" s="12">
        <v>3</v>
      </c>
      <c r="K26" s="12" t="s">
        <v>160</v>
      </c>
      <c r="N26" s="12">
        <v>5</v>
      </c>
      <c r="O26" s="12">
        <v>4</v>
      </c>
      <c r="P26" s="1">
        <v>4</v>
      </c>
      <c r="Q26" s="12">
        <v>5</v>
      </c>
      <c r="R26" s="3">
        <v>4450257</v>
      </c>
      <c r="S26" s="4">
        <v>26</v>
      </c>
      <c r="U26" s="5">
        <f t="shared" si="0"/>
        <v>11125.6425</v>
      </c>
    </row>
    <row r="27" spans="1:21">
      <c r="A27" t="s">
        <v>32</v>
      </c>
      <c r="B27" t="s">
        <v>33</v>
      </c>
      <c r="C27" t="s">
        <v>28</v>
      </c>
      <c r="D27" s="1">
        <v>55</v>
      </c>
      <c r="E27" t="s">
        <v>64</v>
      </c>
      <c r="F27" s="1">
        <v>150</v>
      </c>
      <c r="G27" s="1" t="s">
        <v>135</v>
      </c>
      <c r="H27" s="12">
        <v>30</v>
      </c>
      <c r="I27" s="12">
        <v>19</v>
      </c>
      <c r="J27" s="12">
        <v>5</v>
      </c>
      <c r="K27" s="12" t="s">
        <v>164</v>
      </c>
      <c r="N27" s="12">
        <v>5</v>
      </c>
      <c r="O27" s="12">
        <v>4</v>
      </c>
      <c r="P27" s="1">
        <v>4</v>
      </c>
      <c r="Q27" s="12">
        <v>6</v>
      </c>
      <c r="R27" s="6">
        <v>4778857</v>
      </c>
      <c r="S27" s="7">
        <v>30</v>
      </c>
      <c r="T27" s="8"/>
      <c r="U27" s="9">
        <f t="shared" si="0"/>
        <v>11947.1425</v>
      </c>
    </row>
    <row r="28" spans="1:21" s="16" customFormat="1">
      <c r="D28" s="17"/>
      <c r="F28" s="17"/>
      <c r="G28" s="17"/>
      <c r="H28" s="17"/>
      <c r="I28" s="17"/>
      <c r="K28" s="17"/>
      <c r="N28" s="17"/>
      <c r="O28" s="17"/>
      <c r="P28" s="17"/>
      <c r="Q28" s="17"/>
      <c r="R28" s="18"/>
      <c r="S28" s="19"/>
      <c r="U28" s="20">
        <f>AVERAGE(R16:R27)</f>
        <v>5233790.5</v>
      </c>
    </row>
    <row r="29" spans="1:21">
      <c r="A29" t="s">
        <v>97</v>
      </c>
      <c r="B29" t="s">
        <v>98</v>
      </c>
      <c r="C29" t="s">
        <v>95</v>
      </c>
      <c r="D29" s="1">
        <v>60</v>
      </c>
      <c r="E29" t="s">
        <v>70</v>
      </c>
      <c r="F29" s="1">
        <v>120</v>
      </c>
      <c r="G29" s="1" t="s">
        <v>135</v>
      </c>
      <c r="H29" s="12">
        <v>36</v>
      </c>
      <c r="I29" s="1">
        <v>21</v>
      </c>
      <c r="J29" s="12">
        <v>3</v>
      </c>
      <c r="K29" s="12" t="s">
        <v>147</v>
      </c>
      <c r="N29" s="12">
        <v>3</v>
      </c>
      <c r="O29" s="12">
        <v>3</v>
      </c>
      <c r="P29" s="1">
        <v>5</v>
      </c>
      <c r="Q29" s="12">
        <v>3</v>
      </c>
      <c r="R29" s="3">
        <v>5686010</v>
      </c>
      <c r="S29" s="4">
        <v>32</v>
      </c>
      <c r="U29" s="5">
        <f t="shared" si="0"/>
        <v>14215.025</v>
      </c>
    </row>
    <row r="30" spans="1:21">
      <c r="A30" t="s">
        <v>77</v>
      </c>
      <c r="B30" t="s">
        <v>78</v>
      </c>
      <c r="C30" t="s">
        <v>95</v>
      </c>
      <c r="D30" s="1">
        <v>60</v>
      </c>
      <c r="E30" t="s">
        <v>63</v>
      </c>
      <c r="F30" s="1">
        <v>150</v>
      </c>
      <c r="G30" s="1" t="s">
        <v>136</v>
      </c>
      <c r="H30" s="12">
        <v>35</v>
      </c>
      <c r="I30" s="1">
        <v>21</v>
      </c>
      <c r="J30" s="12">
        <v>3</v>
      </c>
      <c r="K30" s="12" t="s">
        <v>160</v>
      </c>
      <c r="N30" s="12">
        <v>5</v>
      </c>
      <c r="O30" s="12">
        <v>2</v>
      </c>
      <c r="P30" s="1">
        <v>5</v>
      </c>
      <c r="Q30" s="12">
        <v>3</v>
      </c>
      <c r="R30" s="3">
        <v>4934080</v>
      </c>
      <c r="S30" s="4">
        <v>32</v>
      </c>
      <c r="U30" s="5">
        <f t="shared" si="0"/>
        <v>12335.2</v>
      </c>
    </row>
    <row r="31" spans="1:21">
      <c r="A31" t="s">
        <v>79</v>
      </c>
      <c r="B31" t="s">
        <v>80</v>
      </c>
      <c r="C31" t="s">
        <v>95</v>
      </c>
      <c r="D31" s="1">
        <v>60</v>
      </c>
      <c r="E31" t="s">
        <v>65</v>
      </c>
      <c r="F31" s="1">
        <v>120</v>
      </c>
      <c r="G31" s="1" t="s">
        <v>136</v>
      </c>
      <c r="H31" s="12">
        <v>30</v>
      </c>
      <c r="I31" s="1">
        <v>21</v>
      </c>
      <c r="J31" s="12">
        <v>3</v>
      </c>
      <c r="K31" s="12" t="s">
        <v>185</v>
      </c>
      <c r="N31" s="12">
        <v>3</v>
      </c>
      <c r="O31" s="12">
        <v>5</v>
      </c>
      <c r="P31" s="1">
        <v>5</v>
      </c>
      <c r="Q31" s="12">
        <v>2</v>
      </c>
      <c r="R31" s="3">
        <v>4852800</v>
      </c>
      <c r="S31" s="4">
        <v>26</v>
      </c>
      <c r="U31" s="5">
        <f t="shared" si="0"/>
        <v>12132</v>
      </c>
    </row>
    <row r="32" spans="1:21">
      <c r="A32" t="s">
        <v>231</v>
      </c>
      <c r="B32" t="s">
        <v>232</v>
      </c>
      <c r="C32" t="s">
        <v>95</v>
      </c>
      <c r="D32" s="1">
        <v>60</v>
      </c>
      <c r="E32" t="s">
        <v>64</v>
      </c>
      <c r="F32" s="1">
        <v>150</v>
      </c>
      <c r="G32" s="1" t="s">
        <v>135</v>
      </c>
      <c r="H32" s="12">
        <v>30</v>
      </c>
      <c r="I32" s="1">
        <v>21</v>
      </c>
      <c r="J32" s="12">
        <v>3</v>
      </c>
      <c r="K32" s="12" t="s">
        <v>164</v>
      </c>
      <c r="N32" s="12">
        <v>4</v>
      </c>
      <c r="O32" s="12">
        <v>4</v>
      </c>
      <c r="P32" s="1">
        <v>5</v>
      </c>
      <c r="Q32" s="12">
        <v>3</v>
      </c>
      <c r="R32" s="3">
        <v>5789760</v>
      </c>
      <c r="S32" s="4">
        <v>31</v>
      </c>
      <c r="U32" s="5">
        <f>R32*0.0025</f>
        <v>14474.4</v>
      </c>
    </row>
    <row r="33" spans="1:21">
      <c r="A33" t="s">
        <v>125</v>
      </c>
      <c r="B33" t="s">
        <v>126</v>
      </c>
      <c r="C33" t="s">
        <v>95</v>
      </c>
      <c r="D33" s="1">
        <v>65</v>
      </c>
      <c r="E33" t="s">
        <v>64</v>
      </c>
      <c r="F33" s="1">
        <v>120</v>
      </c>
      <c r="G33" s="1" t="s">
        <v>135</v>
      </c>
      <c r="H33" s="12">
        <v>41</v>
      </c>
      <c r="I33" s="1">
        <v>23</v>
      </c>
      <c r="J33" s="12">
        <v>3</v>
      </c>
      <c r="K33" s="12" t="s">
        <v>155</v>
      </c>
      <c r="N33" s="12">
        <v>4</v>
      </c>
      <c r="O33" s="12">
        <v>2</v>
      </c>
      <c r="P33" s="1">
        <v>5</v>
      </c>
      <c r="Q33" s="12">
        <v>4</v>
      </c>
      <c r="R33" s="3">
        <v>11840510</v>
      </c>
      <c r="S33" s="4">
        <v>33</v>
      </c>
      <c r="U33" s="5">
        <f t="shared" si="0"/>
        <v>29601.275000000001</v>
      </c>
    </row>
    <row r="34" spans="1:21">
      <c r="A34" t="s">
        <v>81</v>
      </c>
      <c r="B34" t="s">
        <v>82</v>
      </c>
      <c r="C34" t="s">
        <v>95</v>
      </c>
      <c r="D34" s="1">
        <v>65</v>
      </c>
      <c r="E34" t="s">
        <v>63</v>
      </c>
      <c r="F34" s="1">
        <v>120</v>
      </c>
      <c r="G34" s="1" t="s">
        <v>136</v>
      </c>
      <c r="H34" s="12">
        <v>44</v>
      </c>
      <c r="I34" s="1">
        <v>23</v>
      </c>
      <c r="J34" s="12">
        <v>4</v>
      </c>
      <c r="K34" s="12" t="s">
        <v>164</v>
      </c>
      <c r="N34" s="12">
        <v>3</v>
      </c>
      <c r="O34" s="12">
        <v>3</v>
      </c>
      <c r="P34" s="1">
        <v>5</v>
      </c>
      <c r="Q34" s="12">
        <v>6</v>
      </c>
      <c r="R34" s="3">
        <v>5268560</v>
      </c>
      <c r="S34" s="4">
        <v>36</v>
      </c>
      <c r="U34" s="5">
        <f t="shared" si="0"/>
        <v>13171.4</v>
      </c>
    </row>
    <row r="35" spans="1:21">
      <c r="A35" t="s">
        <v>83</v>
      </c>
      <c r="B35" t="s">
        <v>84</v>
      </c>
      <c r="C35" t="s">
        <v>95</v>
      </c>
      <c r="D35" s="1">
        <v>65</v>
      </c>
      <c r="E35" t="s">
        <v>65</v>
      </c>
      <c r="F35" s="1">
        <v>120</v>
      </c>
      <c r="G35" s="1" t="s">
        <v>135</v>
      </c>
      <c r="H35" s="12">
        <v>36</v>
      </c>
      <c r="I35" s="1">
        <v>23</v>
      </c>
      <c r="J35" s="12">
        <v>4</v>
      </c>
      <c r="K35" s="12" t="s">
        <v>160</v>
      </c>
      <c r="N35" s="12">
        <v>3</v>
      </c>
      <c r="O35" s="12">
        <v>4</v>
      </c>
      <c r="P35" s="1">
        <v>5</v>
      </c>
      <c r="Q35" s="12">
        <v>5</v>
      </c>
      <c r="R35" s="3">
        <v>5691125</v>
      </c>
      <c r="S35" s="4">
        <v>32</v>
      </c>
      <c r="U35" s="5">
        <f t="shared" si="0"/>
        <v>14227.8125</v>
      </c>
    </row>
    <row r="36" spans="1:21">
      <c r="A36" t="s">
        <v>85</v>
      </c>
      <c r="B36" t="s">
        <v>86</v>
      </c>
      <c r="C36" t="s">
        <v>95</v>
      </c>
      <c r="D36" s="1">
        <v>70</v>
      </c>
      <c r="E36" t="s">
        <v>70</v>
      </c>
      <c r="F36" s="1">
        <v>120</v>
      </c>
      <c r="G36" s="1" t="s">
        <v>136</v>
      </c>
      <c r="H36" s="12">
        <v>41</v>
      </c>
      <c r="I36" s="1">
        <v>24</v>
      </c>
      <c r="J36" s="12">
        <v>4</v>
      </c>
      <c r="K36" s="12" t="s">
        <v>160</v>
      </c>
      <c r="N36" s="12">
        <v>3</v>
      </c>
      <c r="O36" s="12">
        <v>4</v>
      </c>
      <c r="P36" s="1">
        <v>5</v>
      </c>
      <c r="Q36" s="12">
        <v>5</v>
      </c>
      <c r="R36" s="3">
        <v>6180973</v>
      </c>
      <c r="S36" s="4">
        <v>39</v>
      </c>
      <c r="U36" s="5">
        <f t="shared" si="0"/>
        <v>15452.432500000001</v>
      </c>
    </row>
    <row r="37" spans="1:21">
      <c r="A37" t="s">
        <v>101</v>
      </c>
      <c r="B37" t="s">
        <v>100</v>
      </c>
      <c r="C37" t="s">
        <v>95</v>
      </c>
      <c r="D37" s="1">
        <v>70</v>
      </c>
      <c r="E37" t="s">
        <v>69</v>
      </c>
      <c r="F37" s="1">
        <v>120</v>
      </c>
      <c r="G37" s="1" t="s">
        <v>135</v>
      </c>
      <c r="H37" s="12">
        <v>42</v>
      </c>
      <c r="I37" s="1">
        <v>24</v>
      </c>
      <c r="J37" s="12">
        <v>4</v>
      </c>
      <c r="K37" s="12" t="s">
        <v>166</v>
      </c>
      <c r="N37" s="12">
        <v>5</v>
      </c>
      <c r="O37" s="12">
        <v>4</v>
      </c>
      <c r="P37" s="1">
        <v>5</v>
      </c>
      <c r="Q37" s="12">
        <v>6</v>
      </c>
      <c r="R37" s="3">
        <v>6024573</v>
      </c>
      <c r="S37" s="4">
        <v>37</v>
      </c>
      <c r="U37" s="5">
        <f t="shared" si="0"/>
        <v>15061.432500000001</v>
      </c>
    </row>
    <row r="38" spans="1:21">
      <c r="A38" t="s">
        <v>87</v>
      </c>
      <c r="B38" t="s">
        <v>88</v>
      </c>
      <c r="C38" t="s">
        <v>95</v>
      </c>
      <c r="D38" s="1">
        <v>70</v>
      </c>
      <c r="E38" t="s">
        <v>70</v>
      </c>
      <c r="F38" s="1">
        <v>120</v>
      </c>
      <c r="G38" s="1" t="s">
        <v>136</v>
      </c>
      <c r="H38" s="12">
        <v>44</v>
      </c>
      <c r="I38" s="1">
        <v>24</v>
      </c>
      <c r="J38" s="12">
        <v>5</v>
      </c>
      <c r="K38" s="12" t="s">
        <v>160</v>
      </c>
      <c r="N38" s="12">
        <v>3</v>
      </c>
      <c r="O38" s="12">
        <v>5</v>
      </c>
      <c r="P38" s="1">
        <v>5</v>
      </c>
      <c r="Q38" s="12">
        <v>4</v>
      </c>
      <c r="R38" s="3">
        <v>6070983</v>
      </c>
      <c r="S38" s="4">
        <v>32</v>
      </c>
      <c r="U38" s="5">
        <f t="shared" si="0"/>
        <v>15177.4575</v>
      </c>
    </row>
    <row r="39" spans="1:21">
      <c r="A39" t="s">
        <v>102</v>
      </c>
      <c r="B39" t="s">
        <v>99</v>
      </c>
      <c r="C39" t="s">
        <v>95</v>
      </c>
      <c r="D39" s="1">
        <v>75</v>
      </c>
      <c r="E39" t="s">
        <v>67</v>
      </c>
      <c r="F39" s="1">
        <v>120</v>
      </c>
      <c r="G39" s="1" t="s">
        <v>136</v>
      </c>
      <c r="H39" s="12">
        <v>49</v>
      </c>
      <c r="I39" s="1">
        <v>25</v>
      </c>
      <c r="J39" s="12">
        <v>5</v>
      </c>
      <c r="K39" s="12" t="s">
        <v>160</v>
      </c>
      <c r="N39" s="12">
        <v>3</v>
      </c>
      <c r="O39" s="12">
        <v>6</v>
      </c>
      <c r="P39" s="1">
        <v>5</v>
      </c>
      <c r="Q39" s="12">
        <v>5</v>
      </c>
      <c r="R39" s="3">
        <v>7136938</v>
      </c>
      <c r="S39" s="4">
        <v>39</v>
      </c>
      <c r="U39" s="5">
        <f t="shared" si="0"/>
        <v>17842.345000000001</v>
      </c>
    </row>
    <row r="40" spans="1:21">
      <c r="A40" t="s">
        <v>89</v>
      </c>
      <c r="B40" t="s">
        <v>90</v>
      </c>
      <c r="C40" t="s">
        <v>95</v>
      </c>
      <c r="D40" s="1">
        <v>75</v>
      </c>
      <c r="E40" t="s">
        <v>69</v>
      </c>
      <c r="F40" s="1">
        <v>120</v>
      </c>
      <c r="G40" s="1" t="s">
        <v>136</v>
      </c>
      <c r="H40" s="12">
        <v>41</v>
      </c>
      <c r="I40" s="1">
        <v>25</v>
      </c>
      <c r="J40" s="12">
        <v>4</v>
      </c>
      <c r="K40" s="12" t="s">
        <v>164</v>
      </c>
      <c r="N40" s="12">
        <v>4</v>
      </c>
      <c r="O40" s="12">
        <v>5</v>
      </c>
      <c r="P40" s="1">
        <v>5</v>
      </c>
      <c r="Q40" s="12">
        <v>5</v>
      </c>
      <c r="R40" s="3">
        <v>6023383</v>
      </c>
      <c r="S40" s="4">
        <v>32</v>
      </c>
      <c r="U40" s="5">
        <f t="shared" si="0"/>
        <v>15058.4575</v>
      </c>
    </row>
    <row r="41" spans="1:21">
      <c r="A41" t="s">
        <v>103</v>
      </c>
      <c r="B41" t="s">
        <v>104</v>
      </c>
      <c r="C41" t="s">
        <v>95</v>
      </c>
      <c r="D41" s="1">
        <v>75</v>
      </c>
      <c r="E41" t="s">
        <v>70</v>
      </c>
      <c r="F41" s="1">
        <v>120</v>
      </c>
      <c r="G41" s="1" t="s">
        <v>136</v>
      </c>
      <c r="H41" s="12">
        <v>42</v>
      </c>
      <c r="I41" s="1">
        <v>25</v>
      </c>
      <c r="J41" s="12">
        <v>4</v>
      </c>
      <c r="K41" s="12" t="s">
        <v>160</v>
      </c>
      <c r="N41" s="12">
        <v>3</v>
      </c>
      <c r="O41" s="12">
        <v>3</v>
      </c>
      <c r="P41" s="1">
        <v>5</v>
      </c>
      <c r="Q41" s="12">
        <v>5</v>
      </c>
      <c r="R41" s="6">
        <v>6627250</v>
      </c>
      <c r="S41" s="7">
        <v>35</v>
      </c>
      <c r="T41" s="8"/>
      <c r="U41" s="9">
        <f t="shared" si="0"/>
        <v>16568.125</v>
      </c>
    </row>
    <row r="42" spans="1:21" s="16" customFormat="1">
      <c r="D42" s="17"/>
      <c r="F42" s="17"/>
      <c r="G42" s="17"/>
      <c r="H42" s="17"/>
      <c r="I42" s="17"/>
      <c r="K42" s="17"/>
      <c r="N42" s="17"/>
      <c r="O42" s="17"/>
      <c r="P42" s="17"/>
      <c r="Q42" s="17"/>
      <c r="R42" s="18"/>
      <c r="S42" s="19"/>
      <c r="U42" s="20">
        <f>AVERAGE(R29:R41)</f>
        <v>6317457.307692308</v>
      </c>
    </row>
    <row r="43" spans="1:21">
      <c r="A43" t="s">
        <v>91</v>
      </c>
      <c r="B43" t="s">
        <v>92</v>
      </c>
      <c r="C43" t="s">
        <v>96</v>
      </c>
      <c r="D43" s="1">
        <v>80</v>
      </c>
      <c r="E43" t="s">
        <v>70</v>
      </c>
      <c r="F43" s="1">
        <v>90</v>
      </c>
      <c r="G43" s="1" t="s">
        <v>136</v>
      </c>
      <c r="H43" s="12">
        <v>51</v>
      </c>
      <c r="I43" s="1">
        <v>27</v>
      </c>
      <c r="J43" s="12">
        <v>5</v>
      </c>
      <c r="K43" s="12" t="s">
        <v>171</v>
      </c>
      <c r="N43" s="12">
        <v>2</v>
      </c>
      <c r="O43" s="12">
        <v>4</v>
      </c>
      <c r="P43" s="1">
        <v>6</v>
      </c>
      <c r="Q43" s="12">
        <v>6</v>
      </c>
      <c r="R43" s="3">
        <v>6598170</v>
      </c>
      <c r="S43" s="4">
        <v>39</v>
      </c>
      <c r="U43" s="5">
        <f t="shared" si="0"/>
        <v>16495.424999999999</v>
      </c>
    </row>
    <row r="44" spans="1:21">
      <c r="A44" t="s">
        <v>107</v>
      </c>
      <c r="B44" t="s">
        <v>108</v>
      </c>
      <c r="C44" t="s">
        <v>96</v>
      </c>
      <c r="D44" s="1">
        <v>80</v>
      </c>
      <c r="E44" t="s">
        <v>66</v>
      </c>
      <c r="F44" s="1">
        <v>120</v>
      </c>
      <c r="G44" s="1" t="s">
        <v>135</v>
      </c>
      <c r="H44" s="12">
        <v>42</v>
      </c>
      <c r="I44" s="1">
        <v>27</v>
      </c>
      <c r="J44" s="12">
        <v>4</v>
      </c>
      <c r="K44" s="12" t="s">
        <v>160</v>
      </c>
      <c r="N44" s="12">
        <v>3</v>
      </c>
      <c r="O44" s="12">
        <v>3</v>
      </c>
      <c r="P44" s="1">
        <v>6</v>
      </c>
      <c r="Q44" s="12">
        <v>5</v>
      </c>
      <c r="R44" s="3">
        <v>7651200</v>
      </c>
      <c r="S44" s="4">
        <v>39</v>
      </c>
      <c r="U44" s="5">
        <f t="shared" si="0"/>
        <v>19128</v>
      </c>
    </row>
    <row r="45" spans="1:21">
      <c r="A45" t="s">
        <v>119</v>
      </c>
      <c r="B45" t="s">
        <v>120</v>
      </c>
      <c r="C45" t="s">
        <v>96</v>
      </c>
      <c r="D45" s="1">
        <v>80</v>
      </c>
      <c r="E45" t="s">
        <v>64</v>
      </c>
      <c r="F45" s="1">
        <v>120</v>
      </c>
      <c r="G45" s="1" t="s">
        <v>135</v>
      </c>
      <c r="H45" s="12">
        <v>36</v>
      </c>
      <c r="I45" s="1">
        <v>27</v>
      </c>
      <c r="J45" s="12">
        <v>4</v>
      </c>
      <c r="K45" s="12" t="s">
        <v>160</v>
      </c>
      <c r="N45" s="12">
        <v>5</v>
      </c>
      <c r="O45" s="12">
        <v>3</v>
      </c>
      <c r="P45" s="1">
        <v>6</v>
      </c>
      <c r="Q45" s="12">
        <v>4</v>
      </c>
      <c r="R45" s="3">
        <v>8512320</v>
      </c>
      <c r="S45" s="4">
        <v>40</v>
      </c>
      <c r="U45" s="5">
        <f t="shared" si="0"/>
        <v>21280.799999999999</v>
      </c>
    </row>
    <row r="46" spans="1:21">
      <c r="A46" t="s">
        <v>93</v>
      </c>
      <c r="B46" t="s">
        <v>94</v>
      </c>
      <c r="C46" t="s">
        <v>96</v>
      </c>
      <c r="D46" s="1">
        <v>85</v>
      </c>
      <c r="E46" t="s">
        <v>70</v>
      </c>
      <c r="F46" s="1">
        <v>120</v>
      </c>
      <c r="G46" s="1" t="s">
        <v>136</v>
      </c>
      <c r="H46" s="12">
        <v>47</v>
      </c>
      <c r="I46" s="1">
        <v>29</v>
      </c>
      <c r="J46" s="12">
        <v>4</v>
      </c>
      <c r="K46" s="12" t="s">
        <v>166</v>
      </c>
      <c r="N46" s="12">
        <v>4</v>
      </c>
      <c r="O46" s="12">
        <v>4</v>
      </c>
      <c r="P46" s="1">
        <v>6</v>
      </c>
      <c r="Q46" s="12">
        <v>5</v>
      </c>
      <c r="R46" s="3">
        <v>8501243</v>
      </c>
      <c r="S46" s="4">
        <v>40</v>
      </c>
      <c r="U46" s="5">
        <f t="shared" si="0"/>
        <v>21253.107500000002</v>
      </c>
    </row>
    <row r="47" spans="1:21">
      <c r="A47" t="s">
        <v>105</v>
      </c>
      <c r="B47" t="s">
        <v>106</v>
      </c>
      <c r="C47" t="s">
        <v>96</v>
      </c>
      <c r="D47" s="1">
        <v>85</v>
      </c>
      <c r="E47" t="s">
        <v>71</v>
      </c>
      <c r="F47" s="1">
        <v>90</v>
      </c>
      <c r="G47" s="1" t="s">
        <v>136</v>
      </c>
      <c r="H47" s="12">
        <v>54</v>
      </c>
      <c r="I47" s="1">
        <v>29</v>
      </c>
      <c r="J47" s="12">
        <v>4</v>
      </c>
      <c r="K47" s="12" t="s">
        <v>160</v>
      </c>
      <c r="N47" s="12">
        <v>2</v>
      </c>
      <c r="O47" s="12">
        <v>3</v>
      </c>
      <c r="P47" s="1">
        <v>6</v>
      </c>
      <c r="Q47" s="12">
        <v>6</v>
      </c>
      <c r="R47" s="3">
        <v>7463825</v>
      </c>
      <c r="S47" s="4">
        <v>42</v>
      </c>
      <c r="U47" s="5">
        <f t="shared" si="0"/>
        <v>18659.5625</v>
      </c>
    </row>
    <row r="48" spans="1:21">
      <c r="A48" t="s">
        <v>109</v>
      </c>
      <c r="B48" t="s">
        <v>110</v>
      </c>
      <c r="C48" t="s">
        <v>96</v>
      </c>
      <c r="D48" s="1">
        <v>90</v>
      </c>
      <c r="E48" t="s">
        <v>66</v>
      </c>
      <c r="F48" s="1">
        <v>90</v>
      </c>
      <c r="G48" s="1" t="s">
        <v>135</v>
      </c>
      <c r="H48" s="12">
        <v>50</v>
      </c>
      <c r="I48" s="1">
        <v>31</v>
      </c>
      <c r="J48" s="12">
        <v>5</v>
      </c>
      <c r="K48" s="12" t="s">
        <v>164</v>
      </c>
      <c r="N48" s="12">
        <v>4</v>
      </c>
      <c r="O48" s="12">
        <v>4</v>
      </c>
      <c r="P48" s="1">
        <v>6</v>
      </c>
      <c r="Q48" s="12">
        <v>6</v>
      </c>
      <c r="R48" s="3">
        <v>8936080</v>
      </c>
      <c r="S48" s="4">
        <v>47</v>
      </c>
      <c r="U48" s="5">
        <f t="shared" si="0"/>
        <v>22340.2</v>
      </c>
    </row>
    <row r="49" spans="1:21">
      <c r="A49" t="s">
        <v>121</v>
      </c>
      <c r="B49" t="s">
        <v>122</v>
      </c>
      <c r="C49" t="s">
        <v>96</v>
      </c>
      <c r="D49" s="1">
        <v>90</v>
      </c>
      <c r="E49" t="s">
        <v>66</v>
      </c>
      <c r="F49" s="1">
        <v>90</v>
      </c>
      <c r="G49" s="1" t="s">
        <v>136</v>
      </c>
      <c r="H49" s="12">
        <v>45</v>
      </c>
      <c r="I49" s="1">
        <v>31</v>
      </c>
      <c r="J49" s="12">
        <v>3</v>
      </c>
      <c r="K49" s="12" t="s">
        <v>185</v>
      </c>
      <c r="N49" s="12">
        <v>2</v>
      </c>
      <c r="O49" s="12">
        <v>5</v>
      </c>
      <c r="P49" s="1">
        <v>6</v>
      </c>
      <c r="Q49" s="12">
        <v>3</v>
      </c>
      <c r="R49" s="3">
        <v>18399600</v>
      </c>
      <c r="S49" s="4">
        <v>37</v>
      </c>
      <c r="U49" s="5">
        <f t="shared" si="0"/>
        <v>45999</v>
      </c>
    </row>
    <row r="50" spans="1:21">
      <c r="A50" t="s">
        <v>111</v>
      </c>
      <c r="B50" t="s">
        <v>112</v>
      </c>
      <c r="C50" t="s">
        <v>96</v>
      </c>
      <c r="D50" s="1">
        <v>95</v>
      </c>
      <c r="E50" t="s">
        <v>63</v>
      </c>
      <c r="F50" s="1">
        <v>120</v>
      </c>
      <c r="G50" s="1" t="s">
        <v>136</v>
      </c>
      <c r="H50" s="12">
        <v>40</v>
      </c>
      <c r="I50" s="1">
        <v>33</v>
      </c>
      <c r="J50" s="12">
        <v>3</v>
      </c>
      <c r="K50" s="12" t="s">
        <v>164</v>
      </c>
      <c r="N50" s="12">
        <v>4</v>
      </c>
      <c r="O50" s="12">
        <v>2</v>
      </c>
      <c r="P50" s="1">
        <v>6</v>
      </c>
      <c r="Q50" s="12">
        <v>4</v>
      </c>
      <c r="R50" s="3">
        <v>9824327</v>
      </c>
      <c r="S50" s="4">
        <v>39</v>
      </c>
      <c r="U50" s="5">
        <f t="shared" si="0"/>
        <v>24560.817500000001</v>
      </c>
    </row>
    <row r="51" spans="1:21">
      <c r="A51" t="s">
        <v>113</v>
      </c>
      <c r="B51" t="s">
        <v>114</v>
      </c>
      <c r="C51" t="s">
        <v>96</v>
      </c>
      <c r="D51" s="1">
        <v>100</v>
      </c>
      <c r="E51" t="s">
        <v>71</v>
      </c>
      <c r="F51" s="1">
        <v>60</v>
      </c>
      <c r="G51" s="1" t="s">
        <v>136</v>
      </c>
      <c r="H51" s="12">
        <v>55</v>
      </c>
      <c r="I51" s="1">
        <v>34</v>
      </c>
      <c r="J51" s="12">
        <v>3</v>
      </c>
      <c r="K51" s="12" t="s">
        <v>160</v>
      </c>
      <c r="N51" s="12">
        <v>1</v>
      </c>
      <c r="O51" s="12">
        <v>4</v>
      </c>
      <c r="P51" s="1">
        <v>7</v>
      </c>
      <c r="Q51" s="12">
        <v>6</v>
      </c>
      <c r="R51" s="3">
        <v>7696667</v>
      </c>
      <c r="S51" s="4">
        <v>31</v>
      </c>
      <c r="U51" s="5">
        <f t="shared" si="0"/>
        <v>19241.6675</v>
      </c>
    </row>
    <row r="52" spans="1:21">
      <c r="A52" t="s">
        <v>115</v>
      </c>
      <c r="B52" t="s">
        <v>116</v>
      </c>
      <c r="C52" t="s">
        <v>96</v>
      </c>
      <c r="D52" s="1">
        <v>100</v>
      </c>
      <c r="E52" t="s">
        <v>71</v>
      </c>
      <c r="F52" s="1">
        <v>90</v>
      </c>
      <c r="G52" s="1" t="s">
        <v>136</v>
      </c>
      <c r="H52" s="12">
        <v>64</v>
      </c>
      <c r="I52" s="1">
        <v>34</v>
      </c>
      <c r="J52" s="12">
        <v>4</v>
      </c>
      <c r="K52" s="12" t="s">
        <v>164</v>
      </c>
      <c r="N52" s="12">
        <v>3</v>
      </c>
      <c r="O52" s="12">
        <v>4</v>
      </c>
      <c r="P52" s="1">
        <v>7</v>
      </c>
      <c r="Q52" s="12">
        <v>6</v>
      </c>
      <c r="R52" s="3">
        <v>9626000</v>
      </c>
      <c r="S52" s="4">
        <v>52</v>
      </c>
      <c r="U52" s="5">
        <f t="shared" si="0"/>
        <v>24065</v>
      </c>
    </row>
    <row r="53" spans="1:21">
      <c r="A53" t="s">
        <v>123</v>
      </c>
      <c r="B53" t="s">
        <v>117</v>
      </c>
      <c r="C53" t="s">
        <v>96</v>
      </c>
      <c r="D53" s="1">
        <v>100</v>
      </c>
      <c r="E53" t="s">
        <v>71</v>
      </c>
      <c r="F53" s="1">
        <v>90</v>
      </c>
      <c r="G53" s="1" t="s">
        <v>136</v>
      </c>
      <c r="H53" s="1">
        <v>63</v>
      </c>
      <c r="I53" s="1">
        <v>34</v>
      </c>
      <c r="J53" s="12">
        <v>4</v>
      </c>
      <c r="K53" s="12" t="s">
        <v>166</v>
      </c>
      <c r="N53" s="12">
        <v>1</v>
      </c>
      <c r="O53" s="12">
        <v>5</v>
      </c>
      <c r="P53" s="1">
        <v>7</v>
      </c>
      <c r="Q53" s="12">
        <v>5</v>
      </c>
      <c r="R53" s="3">
        <v>22398000</v>
      </c>
      <c r="S53" s="4">
        <v>54</v>
      </c>
      <c r="U53" s="5">
        <f t="shared" si="0"/>
        <v>55995</v>
      </c>
    </row>
    <row r="54" spans="1:21">
      <c r="A54" t="s">
        <v>124</v>
      </c>
      <c r="B54" t="s">
        <v>118</v>
      </c>
      <c r="C54" t="s">
        <v>96</v>
      </c>
      <c r="D54" s="1">
        <v>100</v>
      </c>
      <c r="E54" t="s">
        <v>63</v>
      </c>
      <c r="F54" s="1">
        <v>90</v>
      </c>
      <c r="G54" s="1" t="s">
        <v>136</v>
      </c>
      <c r="H54" s="1">
        <v>66</v>
      </c>
      <c r="I54" s="1">
        <v>34</v>
      </c>
      <c r="J54" s="12">
        <v>4</v>
      </c>
      <c r="K54" s="12" t="s">
        <v>155</v>
      </c>
      <c r="N54" s="12">
        <v>2</v>
      </c>
      <c r="O54" s="12">
        <v>4</v>
      </c>
      <c r="P54" s="1">
        <v>7</v>
      </c>
      <c r="Q54" s="12">
        <v>6</v>
      </c>
      <c r="R54" s="6">
        <v>10122000</v>
      </c>
      <c r="S54" s="7">
        <v>46</v>
      </c>
      <c r="T54" s="8"/>
      <c r="U54" s="9">
        <f t="shared" si="0"/>
        <v>25305</v>
      </c>
    </row>
    <row r="55" spans="1:21">
      <c r="U55" s="10"/>
    </row>
    <row r="61" spans="1:21">
      <c r="J61" s="13"/>
    </row>
    <row r="62" spans="1:21">
      <c r="J62" s="1"/>
      <c r="K62" s="1"/>
    </row>
    <row r="63" spans="1:21">
      <c r="K63" s="14"/>
    </row>
    <row r="64" spans="1:21">
      <c r="K64" s="14"/>
    </row>
    <row r="65" spans="3:11">
      <c r="K65" s="14"/>
    </row>
    <row r="66" spans="3:11">
      <c r="C66" s="13"/>
      <c r="D66" s="13"/>
      <c r="E66" s="13"/>
      <c r="K66" s="14"/>
    </row>
    <row r="67" spans="3:11">
      <c r="C67" s="14"/>
      <c r="D67" s="14"/>
      <c r="E67" s="14"/>
      <c r="K67" s="14"/>
    </row>
    <row r="68" spans="3:11">
      <c r="C68" s="14"/>
      <c r="D68" s="14"/>
      <c r="E68" s="14"/>
      <c r="K68" s="14"/>
    </row>
    <row r="69" spans="3:11">
      <c r="C69" s="14"/>
      <c r="D69" s="14"/>
      <c r="E69" s="14"/>
      <c r="K69" s="14"/>
    </row>
    <row r="70" spans="3:11">
      <c r="C70" s="14"/>
      <c r="D70" s="14"/>
      <c r="E70" s="14"/>
      <c r="K70" s="14"/>
    </row>
    <row r="71" spans="3:11">
      <c r="C71" s="14"/>
      <c r="D71" s="14"/>
      <c r="E71" s="14"/>
      <c r="K71" s="14"/>
    </row>
    <row r="72" spans="3:11">
      <c r="C72" s="14"/>
      <c r="D72" s="14"/>
      <c r="E72" s="14"/>
      <c r="K72" s="14"/>
    </row>
    <row r="73" spans="3:11">
      <c r="C73" s="14"/>
      <c r="D73" s="14"/>
      <c r="E73" s="14"/>
      <c r="K73" s="14"/>
    </row>
    <row r="74" spans="3:11">
      <c r="C74" s="14"/>
      <c r="D74" s="14"/>
      <c r="E74" s="14"/>
      <c r="K74" s="14"/>
    </row>
    <row r="75" spans="3:11">
      <c r="C75" s="14"/>
      <c r="D75" s="14"/>
      <c r="E75" s="14"/>
    </row>
    <row r="76" spans="3:11">
      <c r="C76" s="14"/>
      <c r="D76" s="14"/>
      <c r="E76" s="14"/>
      <c r="K76" s="14"/>
    </row>
    <row r="77" spans="3:11">
      <c r="C77" s="14"/>
      <c r="D77" s="14"/>
      <c r="E77" s="14"/>
      <c r="K77" s="14"/>
    </row>
    <row r="78" spans="3:11">
      <c r="C78" s="14"/>
      <c r="D78" s="14"/>
      <c r="E78" s="14"/>
      <c r="K78" s="14"/>
    </row>
    <row r="79" spans="3:11">
      <c r="K79" s="14"/>
    </row>
    <row r="80" spans="3:11">
      <c r="K80" s="14"/>
    </row>
    <row r="81" spans="11:11">
      <c r="K81" s="14"/>
    </row>
    <row r="82" spans="11:11">
      <c r="K82" s="14"/>
    </row>
    <row r="83" spans="11:11">
      <c r="K83" s="14"/>
    </row>
    <row r="84" spans="11:11">
      <c r="K84" s="14"/>
    </row>
    <row r="85" spans="11:11">
      <c r="K85" s="14"/>
    </row>
    <row r="86" spans="11:11">
      <c r="K86" s="14"/>
    </row>
    <row r="87" spans="11:11">
      <c r="K87" s="14"/>
    </row>
    <row r="89" spans="11:11">
      <c r="K89" s="14"/>
    </row>
    <row r="90" spans="11:11">
      <c r="K90" s="14"/>
    </row>
    <row r="91" spans="11:11">
      <c r="K91" s="14"/>
    </row>
    <row r="92" spans="11:11">
      <c r="K92" s="14"/>
    </row>
    <row r="93" spans="11:11">
      <c r="K93" s="14"/>
    </row>
    <row r="94" spans="11:11">
      <c r="K94" s="14"/>
    </row>
    <row r="95" spans="11:11">
      <c r="K95" s="14"/>
    </row>
    <row r="96" spans="11:11">
      <c r="K96" s="14"/>
    </row>
    <row r="97" spans="11:11">
      <c r="K97" s="14"/>
    </row>
    <row r="98" spans="11:11">
      <c r="K98" s="14"/>
    </row>
    <row r="99" spans="11:11">
      <c r="K99" s="14"/>
    </row>
    <row r="100" spans="11:11">
      <c r="K100" s="14"/>
    </row>
    <row r="102" spans="11:11">
      <c r="K102" s="14"/>
    </row>
    <row r="103" spans="11:11">
      <c r="K103" s="14"/>
    </row>
    <row r="104" spans="11:11">
      <c r="K104" s="14"/>
    </row>
    <row r="105" spans="11:11">
      <c r="K105" s="14"/>
    </row>
    <row r="106" spans="11:11">
      <c r="K106" s="14"/>
    </row>
    <row r="107" spans="11:11">
      <c r="K107" s="14"/>
    </row>
    <row r="108" spans="11:11">
      <c r="K108" s="14"/>
    </row>
    <row r="109" spans="11:11">
      <c r="K109" s="14"/>
    </row>
    <row r="110" spans="11:11">
      <c r="K110" s="14"/>
    </row>
    <row r="111" spans="11:11">
      <c r="K111" s="14"/>
    </row>
    <row r="112" spans="11:11">
      <c r="K112" s="14"/>
    </row>
    <row r="113" spans="11:11">
      <c r="K113" s="1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591463-8248-4383-AB2D-AE219119A501}">
          <x14:formula1>
            <xm:f>'Misc Tables'!$A$2:$A$11</xm:f>
          </x14:formula1>
          <xm:sqref>E2:E54</xm:sqref>
        </x14:dataValidation>
        <x14:dataValidation type="list" allowBlank="1" showInputMessage="1" showErrorMessage="1" xr:uid="{672CEF80-F760-4E70-B62D-378206010836}">
          <x14:formula1>
            <xm:f>'Misc Tables'!$E$2:$E$13</xm:f>
          </x14:formula1>
          <xm:sqref>K2:K54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8DB6-0C29-4AF4-BF5F-5783B9139A50}">
  <dimension ref="A1:P17"/>
  <sheetViews>
    <sheetView workbookViewId="0">
      <selection activeCell="B18" sqref="B18"/>
    </sheetView>
  </sheetViews>
  <sheetFormatPr defaultRowHeight="15"/>
  <cols>
    <col min="2" max="2" width="11.85546875" bestFit="1" customWidth="1"/>
    <col min="4" max="4" width="11.5703125" customWidth="1"/>
    <col min="6" max="6" width="10.5703125" bestFit="1" customWidth="1"/>
    <col min="9" max="9" width="15.5703125" bestFit="1" customWidth="1"/>
    <col min="13" max="13" width="9.7109375" customWidth="1"/>
  </cols>
  <sheetData>
    <row r="1" spans="1:16" ht="15.75" thickBot="1">
      <c r="A1" s="28" t="s">
        <v>8</v>
      </c>
      <c r="B1" s="28" t="s">
        <v>9</v>
      </c>
      <c r="C1" s="28" t="s">
        <v>2</v>
      </c>
      <c r="D1" s="28" t="s">
        <v>72</v>
      </c>
      <c r="E1" s="28" t="s">
        <v>268</v>
      </c>
      <c r="F1" s="28" t="s">
        <v>3</v>
      </c>
      <c r="G1" s="28" t="s">
        <v>4</v>
      </c>
      <c r="H1" s="28" t="s">
        <v>5</v>
      </c>
      <c r="I1" s="28" t="s">
        <v>7</v>
      </c>
      <c r="J1" s="28" t="s">
        <v>13</v>
      </c>
      <c r="K1" s="28" t="s">
        <v>17</v>
      </c>
      <c r="L1" s="28" t="s">
        <v>18</v>
      </c>
      <c r="M1" s="28" t="s">
        <v>0</v>
      </c>
      <c r="N1" s="28" t="s">
        <v>19</v>
      </c>
      <c r="O1" s="29" t="s">
        <v>14</v>
      </c>
      <c r="P1" s="30" t="s">
        <v>15</v>
      </c>
    </row>
    <row r="2" spans="1:16">
      <c r="B2" t="s">
        <v>397</v>
      </c>
      <c r="C2">
        <v>20</v>
      </c>
      <c r="D2" t="s">
        <v>128</v>
      </c>
      <c r="E2" t="s">
        <v>405</v>
      </c>
    </row>
    <row r="3" spans="1:16">
      <c r="A3" t="s">
        <v>398</v>
      </c>
      <c r="B3" t="s">
        <v>399</v>
      </c>
      <c r="C3">
        <v>21</v>
      </c>
      <c r="D3" t="s">
        <v>325</v>
      </c>
      <c r="E3" t="s">
        <v>400</v>
      </c>
    </row>
    <row r="4" spans="1:16">
      <c r="B4" t="s">
        <v>401</v>
      </c>
      <c r="C4">
        <v>25</v>
      </c>
      <c r="D4" t="s">
        <v>130</v>
      </c>
      <c r="E4" t="s">
        <v>402</v>
      </c>
    </row>
    <row r="5" spans="1:16">
      <c r="B5" t="s">
        <v>403</v>
      </c>
      <c r="C5">
        <v>40</v>
      </c>
      <c r="D5" t="s">
        <v>404</v>
      </c>
      <c r="E5" t="s">
        <v>405</v>
      </c>
    </row>
    <row r="6" spans="1:16">
      <c r="B6" t="s">
        <v>406</v>
      </c>
      <c r="C6">
        <v>50</v>
      </c>
      <c r="D6" t="s">
        <v>132</v>
      </c>
      <c r="E6" t="s">
        <v>407</v>
      </c>
    </row>
    <row r="7" spans="1:16">
      <c r="B7" t="s">
        <v>408</v>
      </c>
      <c r="C7">
        <v>50</v>
      </c>
      <c r="D7" t="s">
        <v>325</v>
      </c>
      <c r="E7" t="s">
        <v>402</v>
      </c>
    </row>
    <row r="8" spans="1:16">
      <c r="B8" t="s">
        <v>409</v>
      </c>
      <c r="C8">
        <v>65</v>
      </c>
      <c r="D8" t="s">
        <v>131</v>
      </c>
      <c r="E8" t="s">
        <v>402</v>
      </c>
    </row>
    <row r="9" spans="1:16">
      <c r="B9" t="s">
        <v>410</v>
      </c>
      <c r="C9">
        <v>80</v>
      </c>
      <c r="D9" t="s">
        <v>131</v>
      </c>
      <c r="E9" t="s">
        <v>402</v>
      </c>
    </row>
    <row r="10" spans="1:16">
      <c r="A10" t="s">
        <v>411</v>
      </c>
      <c r="B10" t="s">
        <v>412</v>
      </c>
      <c r="C10">
        <v>25</v>
      </c>
      <c r="D10" t="s">
        <v>413</v>
      </c>
      <c r="E10" t="s">
        <v>414</v>
      </c>
    </row>
    <row r="11" spans="1:16">
      <c r="B11" t="s">
        <v>415</v>
      </c>
      <c r="C11">
        <v>50</v>
      </c>
      <c r="D11" t="s">
        <v>325</v>
      </c>
      <c r="E11" t="s">
        <v>416</v>
      </c>
    </row>
    <row r="12" spans="1:16">
      <c r="A12" t="s">
        <v>417</v>
      </c>
      <c r="B12" t="s">
        <v>418</v>
      </c>
      <c r="C12">
        <v>60</v>
      </c>
      <c r="D12" t="s">
        <v>130</v>
      </c>
      <c r="E12" t="s">
        <v>416</v>
      </c>
    </row>
    <row r="13" spans="1:16">
      <c r="A13" t="s">
        <v>419</v>
      </c>
      <c r="B13" t="s">
        <v>420</v>
      </c>
      <c r="C13">
        <v>65</v>
      </c>
      <c r="D13" t="s">
        <v>421</v>
      </c>
      <c r="E13" t="s">
        <v>416</v>
      </c>
    </row>
    <row r="14" spans="1:16">
      <c r="A14" t="s">
        <v>422</v>
      </c>
      <c r="B14" t="s">
        <v>423</v>
      </c>
      <c r="C14">
        <v>90</v>
      </c>
      <c r="D14" t="s">
        <v>424</v>
      </c>
      <c r="E14" t="s">
        <v>416</v>
      </c>
    </row>
    <row r="15" spans="1:16">
      <c r="A15" t="s">
        <v>427</v>
      </c>
      <c r="B15" t="s">
        <v>425</v>
      </c>
      <c r="C15">
        <v>1.5</v>
      </c>
      <c r="D15" t="s">
        <v>426</v>
      </c>
      <c r="E15" t="s">
        <v>407</v>
      </c>
    </row>
    <row r="16" spans="1:16">
      <c r="B16" t="s">
        <v>428</v>
      </c>
      <c r="C16">
        <v>3</v>
      </c>
      <c r="D16" t="s">
        <v>426</v>
      </c>
      <c r="E16" t="s">
        <v>405</v>
      </c>
    </row>
    <row r="17" spans="2:5">
      <c r="B17" t="s">
        <v>429</v>
      </c>
      <c r="C17">
        <v>10</v>
      </c>
      <c r="D17" t="s">
        <v>430</v>
      </c>
      <c r="E17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4B8F-CA9A-402E-B293-C8FF103E111E}">
  <dimension ref="A1:G66"/>
  <sheetViews>
    <sheetView topLeftCell="A29" workbookViewId="0">
      <selection activeCell="F57" sqref="F57"/>
    </sheetView>
  </sheetViews>
  <sheetFormatPr defaultRowHeight="15"/>
  <cols>
    <col min="1" max="1" width="20" bestFit="1" customWidth="1"/>
    <col min="2" max="2" width="32.42578125" bestFit="1" customWidth="1"/>
    <col min="3" max="3" width="32.42578125" hidden="1" customWidth="1"/>
    <col min="4" max="4" width="50.85546875" hidden="1" customWidth="1"/>
    <col min="5" max="5" width="54.5703125" style="23" bestFit="1" customWidth="1"/>
    <col min="6" max="6" width="108.42578125" style="34" bestFit="1" customWidth="1"/>
    <col min="7" max="7" width="70.85546875" style="34" customWidth="1"/>
  </cols>
  <sheetData>
    <row r="1" spans="1:7">
      <c r="A1" s="21" t="s">
        <v>438</v>
      </c>
      <c r="C1" s="1" t="s">
        <v>324</v>
      </c>
      <c r="D1" s="1" t="s">
        <v>16</v>
      </c>
      <c r="E1" s="23" t="s">
        <v>301</v>
      </c>
      <c r="F1" s="32" t="s">
        <v>300</v>
      </c>
      <c r="G1" s="32" t="s">
        <v>307</v>
      </c>
    </row>
    <row r="2" spans="1:7">
      <c r="A2" s="27" t="s">
        <v>247</v>
      </c>
      <c r="B2" s="27"/>
      <c r="C2" s="27"/>
      <c r="D2" s="27"/>
      <c r="E2" s="36"/>
      <c r="F2" s="33"/>
      <c r="G2" s="33"/>
    </row>
    <row r="3" spans="1:7">
      <c r="B3" t="s">
        <v>273</v>
      </c>
      <c r="C3" t="s">
        <v>332</v>
      </c>
      <c r="D3" t="s">
        <v>326</v>
      </c>
      <c r="E3" s="37" t="s">
        <v>312</v>
      </c>
      <c r="F3" s="26" t="s">
        <v>316</v>
      </c>
      <c r="G3" s="34" t="s">
        <v>308</v>
      </c>
    </row>
    <row r="4" spans="1:7">
      <c r="B4" t="s">
        <v>257</v>
      </c>
      <c r="C4" t="s">
        <v>333</v>
      </c>
      <c r="D4" t="s">
        <v>327</v>
      </c>
      <c r="E4" s="37" t="s">
        <v>313</v>
      </c>
      <c r="F4" s="34" t="s">
        <v>305</v>
      </c>
      <c r="G4" s="34" t="s">
        <v>308</v>
      </c>
    </row>
    <row r="5" spans="1:7">
      <c r="B5" t="s">
        <v>285</v>
      </c>
      <c r="C5" t="s">
        <v>334</v>
      </c>
      <c r="D5" t="s">
        <v>328</v>
      </c>
      <c r="E5" s="37" t="s">
        <v>314</v>
      </c>
      <c r="F5" s="34" t="s">
        <v>303</v>
      </c>
      <c r="G5" s="34" t="s">
        <v>308</v>
      </c>
    </row>
    <row r="6" spans="1:7">
      <c r="B6" t="s">
        <v>286</v>
      </c>
      <c r="C6" t="s">
        <v>334</v>
      </c>
      <c r="D6" t="s">
        <v>329</v>
      </c>
      <c r="E6" s="37" t="s">
        <v>315</v>
      </c>
      <c r="F6" s="34" t="s">
        <v>304</v>
      </c>
      <c r="G6" s="34" t="s">
        <v>308</v>
      </c>
    </row>
    <row r="7" spans="1:7">
      <c r="A7" s="27" t="s">
        <v>268</v>
      </c>
      <c r="B7" s="27"/>
      <c r="C7" s="27"/>
      <c r="D7" s="27"/>
      <c r="E7" s="36"/>
      <c r="F7" s="33"/>
      <c r="G7" s="33"/>
    </row>
    <row r="8" spans="1:7">
      <c r="B8" t="s">
        <v>269</v>
      </c>
      <c r="C8" t="s">
        <v>335</v>
      </c>
      <c r="D8" t="s">
        <v>330</v>
      </c>
      <c r="E8" s="37" t="s">
        <v>308</v>
      </c>
      <c r="F8" s="34" t="s">
        <v>310</v>
      </c>
      <c r="G8" s="34" t="s">
        <v>309</v>
      </c>
    </row>
    <row r="9" spans="1:7">
      <c r="B9" t="s">
        <v>270</v>
      </c>
      <c r="C9" t="s">
        <v>335</v>
      </c>
      <c r="D9" t="s">
        <v>330</v>
      </c>
      <c r="E9" s="37" t="s">
        <v>308</v>
      </c>
      <c r="F9" s="34" t="s">
        <v>311</v>
      </c>
      <c r="G9" s="34" t="s">
        <v>309</v>
      </c>
    </row>
    <row r="10" spans="1:7">
      <c r="B10" t="s">
        <v>271</v>
      </c>
      <c r="C10" t="s">
        <v>337</v>
      </c>
      <c r="D10" t="s">
        <v>336</v>
      </c>
      <c r="E10" s="37" t="s">
        <v>302</v>
      </c>
      <c r="F10" s="35" t="s">
        <v>317</v>
      </c>
      <c r="G10" s="14" t="s">
        <v>323</v>
      </c>
    </row>
    <row r="11" spans="1:7">
      <c r="B11" t="s">
        <v>272</v>
      </c>
      <c r="C11" t="s">
        <v>335</v>
      </c>
      <c r="D11" t="s">
        <v>331</v>
      </c>
      <c r="E11" s="37" t="s">
        <v>306</v>
      </c>
      <c r="F11" s="34" t="s">
        <v>318</v>
      </c>
      <c r="G11" s="14" t="s">
        <v>322</v>
      </c>
    </row>
    <row r="12" spans="1:7">
      <c r="B12" t="s">
        <v>471</v>
      </c>
      <c r="C12" t="s">
        <v>335</v>
      </c>
      <c r="E12" s="37" t="s">
        <v>345</v>
      </c>
      <c r="F12" s="35" t="s">
        <v>319</v>
      </c>
      <c r="G12" s="34" t="s">
        <v>308</v>
      </c>
    </row>
    <row r="13" spans="1:7">
      <c r="B13" t="s">
        <v>298</v>
      </c>
      <c r="C13" t="s">
        <v>335</v>
      </c>
      <c r="D13" t="s">
        <v>338</v>
      </c>
      <c r="E13" s="37" t="s">
        <v>306</v>
      </c>
      <c r="F13" s="35" t="s">
        <v>320</v>
      </c>
      <c r="G13" s="14" t="s">
        <v>321</v>
      </c>
    </row>
    <row r="14" spans="1:7">
      <c r="A14" s="27" t="s">
        <v>248</v>
      </c>
      <c r="B14" s="27"/>
      <c r="C14" s="27"/>
      <c r="D14" s="27"/>
      <c r="E14" s="36"/>
      <c r="F14" s="33"/>
      <c r="G14" s="33"/>
    </row>
    <row r="15" spans="1:7" ht="30">
      <c r="B15" t="s">
        <v>260</v>
      </c>
      <c r="C15" t="s">
        <v>340</v>
      </c>
      <c r="D15" s="25" t="s">
        <v>349</v>
      </c>
      <c r="E15" s="37" t="s">
        <v>343</v>
      </c>
      <c r="F15" s="34" t="s">
        <v>351</v>
      </c>
      <c r="G15" s="34" t="s">
        <v>449</v>
      </c>
    </row>
    <row r="16" spans="1:7" ht="30">
      <c r="B16" t="s">
        <v>261</v>
      </c>
      <c r="C16" t="s">
        <v>340</v>
      </c>
      <c r="D16" s="25" t="s">
        <v>350</v>
      </c>
      <c r="E16" s="37" t="s">
        <v>343</v>
      </c>
      <c r="F16" s="34" t="s">
        <v>352</v>
      </c>
      <c r="G16" s="34" t="s">
        <v>449</v>
      </c>
    </row>
    <row r="17" spans="1:7">
      <c r="B17" t="s">
        <v>279</v>
      </c>
      <c r="C17" t="s">
        <v>340</v>
      </c>
      <c r="D17" t="s">
        <v>342</v>
      </c>
      <c r="E17" s="23" t="s">
        <v>346</v>
      </c>
      <c r="F17" s="34" t="s">
        <v>348</v>
      </c>
      <c r="G17" s="34" t="s">
        <v>308</v>
      </c>
    </row>
    <row r="18" spans="1:7" ht="30">
      <c r="B18" t="s">
        <v>291</v>
      </c>
      <c r="C18" t="s">
        <v>340</v>
      </c>
      <c r="D18" s="25" t="s">
        <v>347</v>
      </c>
      <c r="E18" s="37" t="s">
        <v>343</v>
      </c>
      <c r="F18" s="34" t="s">
        <v>368</v>
      </c>
      <c r="G18" s="34" t="s">
        <v>308</v>
      </c>
    </row>
    <row r="19" spans="1:7">
      <c r="B19" t="s">
        <v>293</v>
      </c>
      <c r="C19" t="s">
        <v>340</v>
      </c>
      <c r="D19" t="s">
        <v>344</v>
      </c>
      <c r="E19" s="37" t="s">
        <v>343</v>
      </c>
      <c r="F19" s="34" t="s">
        <v>353</v>
      </c>
      <c r="G19" s="34" t="s">
        <v>354</v>
      </c>
    </row>
    <row r="20" spans="1:7">
      <c r="A20" s="27" t="s">
        <v>278</v>
      </c>
      <c r="B20" s="27"/>
      <c r="C20" s="27"/>
      <c r="D20" s="27"/>
      <c r="E20" s="36"/>
      <c r="F20" s="33"/>
      <c r="G20" s="33"/>
    </row>
    <row r="21" spans="1:7" ht="45">
      <c r="B21" t="s">
        <v>262</v>
      </c>
      <c r="C21" t="s">
        <v>341</v>
      </c>
      <c r="D21" s="25" t="s">
        <v>355</v>
      </c>
      <c r="E21" s="37" t="s">
        <v>369</v>
      </c>
      <c r="F21" s="34" t="s">
        <v>359</v>
      </c>
      <c r="G21" s="34" t="s">
        <v>445</v>
      </c>
    </row>
    <row r="22" spans="1:7" ht="30">
      <c r="B22" t="s">
        <v>292</v>
      </c>
      <c r="C22" t="s">
        <v>341</v>
      </c>
      <c r="D22" s="25" t="s">
        <v>356</v>
      </c>
      <c r="E22" s="37" t="s">
        <v>369</v>
      </c>
      <c r="F22" s="34" t="s">
        <v>360</v>
      </c>
      <c r="G22" s="34" t="s">
        <v>361</v>
      </c>
    </row>
    <row r="23" spans="1:7" ht="30">
      <c r="B23" t="s">
        <v>276</v>
      </c>
      <c r="C23" t="s">
        <v>341</v>
      </c>
      <c r="D23" s="25" t="s">
        <v>357</v>
      </c>
      <c r="E23" s="37" t="s">
        <v>370</v>
      </c>
      <c r="F23" s="34" t="s">
        <v>362</v>
      </c>
      <c r="G23" s="34" t="s">
        <v>361</v>
      </c>
    </row>
    <row r="24" spans="1:7" ht="30">
      <c r="B24" t="s">
        <v>294</v>
      </c>
      <c r="C24" t="s">
        <v>341</v>
      </c>
      <c r="D24" s="25" t="s">
        <v>358</v>
      </c>
      <c r="E24" s="37" t="s">
        <v>371</v>
      </c>
      <c r="F24" s="34" t="s">
        <v>363</v>
      </c>
      <c r="G24" s="34" t="s">
        <v>308</v>
      </c>
    </row>
    <row r="25" spans="1:7" ht="30">
      <c r="B25" t="s">
        <v>280</v>
      </c>
      <c r="C25" t="s">
        <v>341</v>
      </c>
      <c r="D25" s="25" t="s">
        <v>366</v>
      </c>
      <c r="E25" s="23" t="s">
        <v>372</v>
      </c>
      <c r="F25" s="34" t="s">
        <v>364</v>
      </c>
      <c r="G25" s="34" t="s">
        <v>308</v>
      </c>
    </row>
    <row r="26" spans="1:7">
      <c r="B26" t="s">
        <v>284</v>
      </c>
      <c r="C26" t="s">
        <v>341</v>
      </c>
      <c r="D26" s="25" t="s">
        <v>365</v>
      </c>
      <c r="E26" s="37" t="s">
        <v>373</v>
      </c>
      <c r="F26" s="34" t="s">
        <v>367</v>
      </c>
      <c r="G26" s="34" t="s">
        <v>339</v>
      </c>
    </row>
    <row r="27" spans="1:7">
      <c r="A27" s="27" t="s">
        <v>249</v>
      </c>
      <c r="B27" s="27"/>
      <c r="C27" s="27"/>
      <c r="D27" s="27"/>
      <c r="E27" s="36"/>
      <c r="F27" s="33"/>
      <c r="G27" s="33"/>
    </row>
    <row r="28" spans="1:7" ht="30">
      <c r="B28" t="s">
        <v>288</v>
      </c>
      <c r="C28" t="s">
        <v>394</v>
      </c>
      <c r="D28" s="25" t="s">
        <v>377</v>
      </c>
      <c r="E28" s="23" t="s">
        <v>375</v>
      </c>
      <c r="F28" s="34" t="s">
        <v>381</v>
      </c>
      <c r="G28" s="14" t="s">
        <v>376</v>
      </c>
    </row>
    <row r="29" spans="1:7">
      <c r="B29" t="s">
        <v>374</v>
      </c>
      <c r="C29" t="s">
        <v>394</v>
      </c>
      <c r="D29" s="25" t="s">
        <v>378</v>
      </c>
      <c r="E29" s="23" t="s">
        <v>379</v>
      </c>
      <c r="F29" s="34" t="s">
        <v>380</v>
      </c>
      <c r="G29" s="34" t="s">
        <v>308</v>
      </c>
    </row>
    <row r="30" spans="1:7">
      <c r="A30" s="27" t="s">
        <v>256</v>
      </c>
      <c r="B30" s="27"/>
      <c r="C30" s="27"/>
      <c r="D30" s="27"/>
      <c r="E30" s="36"/>
      <c r="F30" s="33"/>
      <c r="G30" s="33"/>
    </row>
    <row r="31" spans="1:7" ht="30">
      <c r="B31" t="s">
        <v>387</v>
      </c>
      <c r="C31" t="s">
        <v>395</v>
      </c>
      <c r="D31" s="25" t="s">
        <v>382</v>
      </c>
      <c r="E31" s="23" t="s">
        <v>385</v>
      </c>
      <c r="F31" s="34" t="s">
        <v>392</v>
      </c>
      <c r="G31" s="14" t="s">
        <v>390</v>
      </c>
    </row>
    <row r="32" spans="1:7">
      <c r="B32" t="s">
        <v>277</v>
      </c>
      <c r="C32" t="s">
        <v>395</v>
      </c>
      <c r="D32" s="25" t="s">
        <v>384</v>
      </c>
      <c r="E32" s="23" t="s">
        <v>385</v>
      </c>
      <c r="F32" s="34" t="s">
        <v>388</v>
      </c>
      <c r="G32" s="14" t="s">
        <v>389</v>
      </c>
    </row>
    <row r="33" spans="1:7" ht="45">
      <c r="B33" t="s">
        <v>287</v>
      </c>
      <c r="C33" t="s">
        <v>396</v>
      </c>
      <c r="D33" s="25" t="s">
        <v>383</v>
      </c>
      <c r="E33" s="23" t="s">
        <v>386</v>
      </c>
      <c r="F33" s="35" t="s">
        <v>393</v>
      </c>
      <c r="G33" s="14" t="s">
        <v>391</v>
      </c>
    </row>
    <row r="34" spans="1:7">
      <c r="A34" s="27" t="s">
        <v>258</v>
      </c>
      <c r="B34" s="27"/>
      <c r="C34" s="27"/>
      <c r="D34" s="27"/>
      <c r="E34" s="36"/>
      <c r="F34" s="33"/>
      <c r="G34" s="33"/>
    </row>
    <row r="35" spans="1:7" ht="30">
      <c r="B35" t="s">
        <v>259</v>
      </c>
      <c r="D35" s="25" t="s">
        <v>491</v>
      </c>
      <c r="E35" s="37" t="s">
        <v>489</v>
      </c>
      <c r="F35" s="14" t="s">
        <v>490</v>
      </c>
    </row>
    <row r="36" spans="1:7" ht="45">
      <c r="B36" t="s">
        <v>443</v>
      </c>
      <c r="D36" s="25" t="s">
        <v>492</v>
      </c>
      <c r="E36" s="37" t="s">
        <v>488</v>
      </c>
      <c r="F36" s="14" t="s">
        <v>496</v>
      </c>
    </row>
    <row r="37" spans="1:7" ht="30">
      <c r="B37" t="s">
        <v>290</v>
      </c>
      <c r="D37" s="25" t="s">
        <v>493</v>
      </c>
      <c r="E37" s="37"/>
      <c r="F37" s="34" t="s">
        <v>495</v>
      </c>
      <c r="G37" s="23" t="s">
        <v>494</v>
      </c>
    </row>
    <row r="38" spans="1:7">
      <c r="A38" s="27" t="s">
        <v>263</v>
      </c>
      <c r="B38" s="27"/>
      <c r="C38" s="27"/>
      <c r="D38" s="27"/>
      <c r="E38" s="36"/>
      <c r="F38" s="33"/>
      <c r="G38" s="33"/>
    </row>
    <row r="39" spans="1:7" ht="30">
      <c r="B39" t="s">
        <v>264</v>
      </c>
      <c r="D39" t="s">
        <v>479</v>
      </c>
      <c r="E39" s="23" t="s">
        <v>450</v>
      </c>
      <c r="F39" s="14" t="s">
        <v>452</v>
      </c>
      <c r="G39" s="14" t="s">
        <v>451</v>
      </c>
    </row>
    <row r="40" spans="1:7" ht="30">
      <c r="B40" t="s">
        <v>265</v>
      </c>
      <c r="D40" t="s">
        <v>463</v>
      </c>
      <c r="E40" s="37"/>
      <c r="F40" s="26" t="s">
        <v>453</v>
      </c>
      <c r="G40" s="34" t="s">
        <v>308</v>
      </c>
    </row>
    <row r="41" spans="1:7" ht="30">
      <c r="B41" t="s">
        <v>267</v>
      </c>
      <c r="D41" t="s">
        <v>463</v>
      </c>
      <c r="E41" s="37"/>
      <c r="F41" s="26" t="s">
        <v>454</v>
      </c>
      <c r="G41" s="34" t="s">
        <v>308</v>
      </c>
    </row>
    <row r="42" spans="1:7">
      <c r="B42" t="s">
        <v>442</v>
      </c>
      <c r="D42" t="s">
        <v>462</v>
      </c>
      <c r="E42" s="37"/>
      <c r="F42" s="14" t="s">
        <v>455</v>
      </c>
      <c r="G42" s="34" t="s">
        <v>308</v>
      </c>
    </row>
    <row r="43" spans="1:7">
      <c r="B43" t="s">
        <v>283</v>
      </c>
      <c r="D43" t="s">
        <v>461</v>
      </c>
      <c r="E43" s="37"/>
      <c r="F43" s="34" t="s">
        <v>433</v>
      </c>
      <c r="G43" s="34" t="s">
        <v>458</v>
      </c>
    </row>
    <row r="44" spans="1:7">
      <c r="B44" t="s">
        <v>282</v>
      </c>
      <c r="D44" t="s">
        <v>460</v>
      </c>
      <c r="E44" s="37"/>
      <c r="F44" s="34" t="s">
        <v>434</v>
      </c>
      <c r="G44" s="34" t="s">
        <v>458</v>
      </c>
    </row>
    <row r="45" spans="1:7" ht="30">
      <c r="B45" t="s">
        <v>296</v>
      </c>
      <c r="D45" t="s">
        <v>459</v>
      </c>
      <c r="E45" s="23" t="s">
        <v>457</v>
      </c>
      <c r="F45" s="34" t="s">
        <v>435</v>
      </c>
      <c r="G45" s="15" t="s">
        <v>456</v>
      </c>
    </row>
    <row r="46" spans="1:7" ht="30">
      <c r="B46" t="s">
        <v>299</v>
      </c>
      <c r="D46" t="s">
        <v>459</v>
      </c>
      <c r="E46" s="23" t="s">
        <v>457</v>
      </c>
      <c r="F46" s="34" t="s">
        <v>436</v>
      </c>
      <c r="G46" s="15" t="s">
        <v>456</v>
      </c>
    </row>
    <row r="47" spans="1:7" ht="30">
      <c r="B47" t="s">
        <v>295</v>
      </c>
      <c r="D47" t="s">
        <v>459</v>
      </c>
      <c r="E47" s="23" t="s">
        <v>457</v>
      </c>
      <c r="F47" s="34" t="s">
        <v>437</v>
      </c>
      <c r="G47" s="15" t="s">
        <v>456</v>
      </c>
    </row>
    <row r="48" spans="1:7">
      <c r="B48" t="s">
        <v>297</v>
      </c>
      <c r="D48" t="s">
        <v>480</v>
      </c>
      <c r="E48" s="23" t="s">
        <v>465</v>
      </c>
      <c r="F48" s="34" t="s">
        <v>469</v>
      </c>
      <c r="G48" s="34" t="s">
        <v>470</v>
      </c>
    </row>
    <row r="49" spans="1:7">
      <c r="A49" s="31" t="s">
        <v>255</v>
      </c>
      <c r="B49" s="27"/>
      <c r="C49" s="27"/>
      <c r="D49" s="27"/>
      <c r="E49" s="36"/>
      <c r="F49" s="33"/>
      <c r="G49" s="33"/>
    </row>
    <row r="50" spans="1:7">
      <c r="B50" t="s">
        <v>274</v>
      </c>
      <c r="D50" s="24"/>
      <c r="E50" s="23" t="s">
        <v>484</v>
      </c>
      <c r="F50" s="34" t="s">
        <v>485</v>
      </c>
      <c r="G50" s="34" t="s">
        <v>483</v>
      </c>
    </row>
    <row r="51" spans="1:7" ht="30">
      <c r="B51" t="s">
        <v>275</v>
      </c>
      <c r="D51" s="24" t="s">
        <v>479</v>
      </c>
      <c r="E51" s="23" t="s">
        <v>486</v>
      </c>
      <c r="F51" s="34" t="s">
        <v>487</v>
      </c>
    </row>
    <row r="52" spans="1:7">
      <c r="B52" t="s">
        <v>281</v>
      </c>
      <c r="D52" s="24" t="s">
        <v>479</v>
      </c>
      <c r="E52" s="23" t="s">
        <v>464</v>
      </c>
      <c r="F52" s="34" t="s">
        <v>481</v>
      </c>
      <c r="G52" s="34" t="s">
        <v>482</v>
      </c>
    </row>
    <row r="53" spans="1:7">
      <c r="B53" t="s">
        <v>266</v>
      </c>
      <c r="D53" s="24" t="s">
        <v>479</v>
      </c>
      <c r="E53" s="23" t="s">
        <v>468</v>
      </c>
      <c r="F53" s="34" t="s">
        <v>466</v>
      </c>
      <c r="G53" s="34" t="s">
        <v>467</v>
      </c>
    </row>
    <row r="54" spans="1:7" ht="30">
      <c r="B54" t="s">
        <v>289</v>
      </c>
      <c r="D54" s="24"/>
      <c r="E54" s="23" t="s">
        <v>475</v>
      </c>
      <c r="F54" s="34" t="s">
        <v>472</v>
      </c>
      <c r="G54" s="34" t="s">
        <v>473</v>
      </c>
    </row>
    <row r="55" spans="1:7">
      <c r="B55" t="s">
        <v>441</v>
      </c>
      <c r="E55" s="23" t="s">
        <v>474</v>
      </c>
      <c r="F55" s="34" t="s">
        <v>432</v>
      </c>
      <c r="G55" s="34" t="s">
        <v>458</v>
      </c>
    </row>
    <row r="56" spans="1:7">
      <c r="B56" t="s">
        <v>439</v>
      </c>
      <c r="D56" s="24"/>
      <c r="E56" s="23" t="s">
        <v>477</v>
      </c>
      <c r="F56" s="34" t="s">
        <v>444</v>
      </c>
      <c r="G56" s="34" t="s">
        <v>476</v>
      </c>
    </row>
    <row r="57" spans="1:7">
      <c r="B57" t="s">
        <v>440</v>
      </c>
      <c r="E57" s="23" t="s">
        <v>478</v>
      </c>
      <c r="F57" s="34" t="s">
        <v>444</v>
      </c>
      <c r="G57" s="34" t="s">
        <v>339</v>
      </c>
    </row>
    <row r="58" spans="1:7">
      <c r="D58" s="24"/>
      <c r="E58" s="37"/>
    </row>
    <row r="59" spans="1:7">
      <c r="D59" s="24"/>
      <c r="E59" s="37"/>
    </row>
    <row r="60" spans="1:7">
      <c r="E60" s="37"/>
    </row>
    <row r="61" spans="1:7">
      <c r="A61" s="21" t="s">
        <v>431</v>
      </c>
      <c r="E61" s="37"/>
    </row>
    <row r="62" spans="1:7">
      <c r="B62" t="s">
        <v>250</v>
      </c>
      <c r="F62" s="14"/>
    </row>
    <row r="63" spans="1:7">
      <c r="B63" t="s">
        <v>251</v>
      </c>
      <c r="E63" s="37"/>
    </row>
    <row r="64" spans="1:7">
      <c r="B64" t="s">
        <v>252</v>
      </c>
      <c r="E64" s="37"/>
    </row>
    <row r="65" spans="2:5">
      <c r="B65" t="s">
        <v>253</v>
      </c>
      <c r="E65" s="37"/>
    </row>
    <row r="66" spans="2:5">
      <c r="B66" t="s">
        <v>254</v>
      </c>
      <c r="E66" s="37"/>
    </row>
  </sheetData>
  <dataConsolidate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5038-2C90-49A5-9352-EB0CF599BD6B}">
  <dimension ref="A1:M52"/>
  <sheetViews>
    <sheetView workbookViewId="0">
      <selection activeCell="K17" sqref="K17:L17"/>
    </sheetView>
  </sheetViews>
  <sheetFormatPr defaultRowHeight="15"/>
  <cols>
    <col min="1" max="1" width="12" customWidth="1"/>
    <col min="2" max="2" width="11.85546875" bestFit="1" customWidth="1"/>
    <col min="3" max="3" width="23" bestFit="1" customWidth="1"/>
    <col min="11" max="11" width="46.28515625" customWidth="1"/>
  </cols>
  <sheetData>
    <row r="1" spans="1:12" ht="30">
      <c r="A1" s="11" t="s">
        <v>61</v>
      </c>
      <c r="B1" s="11" t="s">
        <v>127</v>
      </c>
      <c r="D1" s="13" t="s">
        <v>137</v>
      </c>
      <c r="E1" s="13" t="s">
        <v>138</v>
      </c>
      <c r="F1" s="13" t="s">
        <v>139</v>
      </c>
      <c r="G1" s="13" t="s">
        <v>140</v>
      </c>
      <c r="H1" s="13" t="s">
        <v>141</v>
      </c>
      <c r="I1" s="13" t="s">
        <v>142</v>
      </c>
      <c r="J1" s="13" t="s">
        <v>226</v>
      </c>
      <c r="K1" s="13" t="s">
        <v>183</v>
      </c>
    </row>
    <row r="2" spans="1:12">
      <c r="A2" t="s">
        <v>68</v>
      </c>
      <c r="B2" t="s">
        <v>128</v>
      </c>
      <c r="D2" s="14" t="s">
        <v>184</v>
      </c>
      <c r="E2" s="14" t="s">
        <v>185</v>
      </c>
      <c r="F2" s="14" t="s">
        <v>144</v>
      </c>
      <c r="G2" s="14" t="s">
        <v>186</v>
      </c>
      <c r="H2" s="14" t="s">
        <v>154</v>
      </c>
      <c r="I2" s="14" t="s">
        <v>187</v>
      </c>
      <c r="J2" s="14">
        <v>8</v>
      </c>
      <c r="K2" s="14" t="s">
        <v>188</v>
      </c>
      <c r="L2" s="15"/>
    </row>
    <row r="3" spans="1:12">
      <c r="A3" t="s">
        <v>63</v>
      </c>
      <c r="B3" t="s">
        <v>129</v>
      </c>
      <c r="D3" s="14" t="s">
        <v>189</v>
      </c>
      <c r="E3" s="14" t="s">
        <v>143</v>
      </c>
      <c r="F3" s="14" t="s">
        <v>148</v>
      </c>
      <c r="G3" s="14" t="s">
        <v>149</v>
      </c>
      <c r="H3" s="14" t="s">
        <v>145</v>
      </c>
      <c r="I3" s="14" t="s">
        <v>146</v>
      </c>
      <c r="J3" s="14">
        <v>10</v>
      </c>
      <c r="K3" s="14" t="s">
        <v>190</v>
      </c>
      <c r="L3" s="15"/>
    </row>
    <row r="4" spans="1:12">
      <c r="A4" t="s">
        <v>67</v>
      </c>
      <c r="B4" t="s">
        <v>65</v>
      </c>
      <c r="D4" s="14" t="s">
        <v>191</v>
      </c>
      <c r="E4" s="14" t="s">
        <v>147</v>
      </c>
      <c r="F4" s="14" t="s">
        <v>148</v>
      </c>
      <c r="G4" s="14" t="s">
        <v>150</v>
      </c>
      <c r="H4" s="14" t="s">
        <v>151</v>
      </c>
      <c r="I4" s="14" t="s">
        <v>152</v>
      </c>
      <c r="J4" s="14">
        <v>12</v>
      </c>
      <c r="K4" s="14" t="s">
        <v>192</v>
      </c>
      <c r="L4" s="15"/>
    </row>
    <row r="5" spans="1:12">
      <c r="A5" t="s">
        <v>65</v>
      </c>
      <c r="B5" t="s">
        <v>130</v>
      </c>
      <c r="D5" s="14" t="s">
        <v>193</v>
      </c>
      <c r="E5" s="14" t="s">
        <v>155</v>
      </c>
      <c r="F5" s="14" t="s">
        <v>153</v>
      </c>
      <c r="G5" s="14" t="s">
        <v>156</v>
      </c>
      <c r="H5" s="14" t="s">
        <v>157</v>
      </c>
      <c r="I5" s="14" t="s">
        <v>158</v>
      </c>
      <c r="J5" s="14">
        <v>12</v>
      </c>
      <c r="K5" s="14" t="s">
        <v>194</v>
      </c>
      <c r="L5" s="15"/>
    </row>
    <row r="6" spans="1:12">
      <c r="A6" t="s">
        <v>71</v>
      </c>
      <c r="B6" t="s">
        <v>131</v>
      </c>
      <c r="D6" s="14" t="s">
        <v>195</v>
      </c>
      <c r="E6" s="14" t="s">
        <v>160</v>
      </c>
      <c r="F6" s="14" t="s">
        <v>161</v>
      </c>
      <c r="G6" s="14" t="s">
        <v>162</v>
      </c>
      <c r="H6" s="14" t="s">
        <v>163</v>
      </c>
      <c r="I6" s="14" t="s">
        <v>159</v>
      </c>
      <c r="J6" s="14">
        <v>13</v>
      </c>
      <c r="K6" s="14" t="s">
        <v>196</v>
      </c>
      <c r="L6" s="15"/>
    </row>
    <row r="7" spans="1:12">
      <c r="A7" t="s">
        <v>62</v>
      </c>
      <c r="B7" t="s">
        <v>67</v>
      </c>
      <c r="D7" s="14" t="s">
        <v>197</v>
      </c>
      <c r="E7" s="14" t="s">
        <v>164</v>
      </c>
      <c r="F7" s="14" t="s">
        <v>161</v>
      </c>
      <c r="G7" s="14" t="s">
        <v>175</v>
      </c>
      <c r="H7" s="14" t="s">
        <v>198</v>
      </c>
      <c r="I7" s="14" t="s">
        <v>165</v>
      </c>
      <c r="J7" s="14">
        <v>14</v>
      </c>
      <c r="K7" s="14" t="s">
        <v>201</v>
      </c>
      <c r="L7" s="15"/>
    </row>
    <row r="8" spans="1:12">
      <c r="A8" t="s">
        <v>64</v>
      </c>
      <c r="B8" t="s">
        <v>132</v>
      </c>
      <c r="D8" s="14" t="s">
        <v>200</v>
      </c>
      <c r="E8" s="14" t="s">
        <v>166</v>
      </c>
      <c r="F8" s="14" t="s">
        <v>167</v>
      </c>
      <c r="G8" s="14" t="s">
        <v>168</v>
      </c>
      <c r="H8" s="14" t="s">
        <v>169</v>
      </c>
      <c r="I8" s="14" t="s">
        <v>170</v>
      </c>
      <c r="J8" s="14">
        <v>15</v>
      </c>
      <c r="K8" s="14" t="s">
        <v>199</v>
      </c>
      <c r="L8" s="15"/>
    </row>
    <row r="9" spans="1:12">
      <c r="A9" t="s">
        <v>66</v>
      </c>
      <c r="D9" s="14" t="s">
        <v>202</v>
      </c>
      <c r="E9" s="14" t="s">
        <v>171</v>
      </c>
      <c r="F9" s="14" t="s">
        <v>167</v>
      </c>
      <c r="G9" s="14" t="s">
        <v>172</v>
      </c>
      <c r="H9" s="14" t="s">
        <v>173</v>
      </c>
      <c r="I9" s="14" t="s">
        <v>174</v>
      </c>
      <c r="J9" s="14">
        <v>16</v>
      </c>
      <c r="K9" s="14" t="s">
        <v>203</v>
      </c>
      <c r="L9" s="15"/>
    </row>
    <row r="10" spans="1:12">
      <c r="A10" t="s">
        <v>69</v>
      </c>
      <c r="D10" s="14" t="s">
        <v>204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 t="s">
        <v>181</v>
      </c>
      <c r="J10" s="14">
        <v>18</v>
      </c>
      <c r="K10" s="14" t="s">
        <v>205</v>
      </c>
      <c r="L10" s="15"/>
    </row>
    <row r="11" spans="1:12">
      <c r="A11" t="s">
        <v>70</v>
      </c>
      <c r="D11" s="14" t="s">
        <v>206</v>
      </c>
      <c r="E11" s="14" t="s">
        <v>207</v>
      </c>
      <c r="F11" s="14" t="s">
        <v>208</v>
      </c>
      <c r="G11" s="14" t="s">
        <v>209</v>
      </c>
      <c r="H11" s="14" t="s">
        <v>210</v>
      </c>
      <c r="I11" s="14" t="s">
        <v>211</v>
      </c>
      <c r="J11" s="14">
        <v>20</v>
      </c>
      <c r="K11" s="14" t="s">
        <v>212</v>
      </c>
      <c r="L11" s="15"/>
    </row>
    <row r="12" spans="1:12">
      <c r="D12" s="14" t="s">
        <v>213</v>
      </c>
      <c r="E12" s="14" t="s">
        <v>214</v>
      </c>
      <c r="F12" s="14" t="s">
        <v>215</v>
      </c>
      <c r="G12" s="14" t="s">
        <v>176</v>
      </c>
      <c r="H12" s="14" t="s">
        <v>216</v>
      </c>
      <c r="I12" s="14" t="s">
        <v>217</v>
      </c>
      <c r="J12" s="14">
        <v>20</v>
      </c>
      <c r="K12" s="14" t="s">
        <v>218</v>
      </c>
      <c r="L12" s="15"/>
    </row>
    <row r="13" spans="1:12">
      <c r="D13" s="14" t="s">
        <v>219</v>
      </c>
      <c r="E13" s="14" t="s">
        <v>220</v>
      </c>
      <c r="F13" s="14" t="s">
        <v>221</v>
      </c>
      <c r="G13" s="14" t="s">
        <v>222</v>
      </c>
      <c r="H13" s="14" t="s">
        <v>223</v>
      </c>
      <c r="I13" s="14" t="s">
        <v>224</v>
      </c>
      <c r="J13" s="14">
        <v>24</v>
      </c>
      <c r="K13" s="14" t="s">
        <v>225</v>
      </c>
      <c r="L13" s="15"/>
    </row>
    <row r="15" spans="1:12">
      <c r="A15" s="38" t="s">
        <v>233</v>
      </c>
      <c r="B15" s="38"/>
      <c r="C15" s="38"/>
    </row>
    <row r="16" spans="1:12">
      <c r="A16" s="22" t="s">
        <v>234</v>
      </c>
      <c r="B16" s="22" t="s">
        <v>238</v>
      </c>
      <c r="C16" s="22" t="s">
        <v>235</v>
      </c>
      <c r="K16" s="14" t="s">
        <v>446</v>
      </c>
    </row>
    <row r="17" spans="1:12">
      <c r="A17" t="s">
        <v>236</v>
      </c>
      <c r="B17" t="s">
        <v>239</v>
      </c>
      <c r="C17" t="s">
        <v>245</v>
      </c>
      <c r="K17" s="11" t="s">
        <v>447</v>
      </c>
      <c r="L17" s="24" t="s">
        <v>448</v>
      </c>
    </row>
    <row r="18" spans="1:12">
      <c r="A18" t="s">
        <v>237</v>
      </c>
      <c r="B18" t="s">
        <v>239</v>
      </c>
      <c r="C18" t="s">
        <v>243</v>
      </c>
      <c r="K18" t="s">
        <v>497</v>
      </c>
    </row>
    <row r="19" spans="1:12">
      <c r="B19" t="s">
        <v>241</v>
      </c>
      <c r="C19" t="s">
        <v>246</v>
      </c>
      <c r="K19" t="s">
        <v>498</v>
      </c>
    </row>
    <row r="20" spans="1:12">
      <c r="A20" t="s">
        <v>240</v>
      </c>
      <c r="B20" t="s">
        <v>239</v>
      </c>
      <c r="C20" t="s">
        <v>244</v>
      </c>
      <c r="D20" s="13"/>
      <c r="E20" s="13"/>
      <c r="F20" s="13"/>
      <c r="G20" s="13"/>
      <c r="H20" s="13"/>
      <c r="I20" s="13"/>
      <c r="J20" s="13"/>
      <c r="K20" s="39" t="s">
        <v>499</v>
      </c>
      <c r="L20" t="s">
        <v>500</v>
      </c>
    </row>
    <row r="21" spans="1:12">
      <c r="B21" t="s">
        <v>241</v>
      </c>
      <c r="C21" t="s">
        <v>242</v>
      </c>
      <c r="D21" s="15"/>
      <c r="E21" s="15"/>
      <c r="F21" s="14"/>
      <c r="G21" s="14"/>
      <c r="H21" s="14"/>
      <c r="I21" s="14"/>
      <c r="J21" s="14"/>
      <c r="K21" s="14"/>
    </row>
    <row r="22" spans="1:12">
      <c r="D22" s="15"/>
      <c r="E22" s="15"/>
      <c r="F22" s="14"/>
      <c r="G22" s="14"/>
      <c r="H22" s="14"/>
      <c r="I22" s="14"/>
      <c r="J22" s="14"/>
      <c r="K22" s="14"/>
    </row>
    <row r="23" spans="1:12">
      <c r="D23" s="15"/>
      <c r="E23" s="15"/>
      <c r="F23" s="14"/>
      <c r="G23" s="14"/>
      <c r="H23" s="14"/>
      <c r="I23" s="14"/>
      <c r="J23" s="14"/>
      <c r="K23" s="14"/>
    </row>
    <row r="24" spans="1:12">
      <c r="D24" s="15"/>
      <c r="E24" s="15"/>
      <c r="F24" s="14"/>
      <c r="G24" s="14"/>
      <c r="H24" s="14"/>
      <c r="I24" s="14"/>
      <c r="J24" s="14"/>
      <c r="K24" s="14"/>
    </row>
    <row r="25" spans="1:12">
      <c r="D25" s="15"/>
      <c r="E25" s="15"/>
      <c r="F25" s="14"/>
      <c r="G25" s="14"/>
      <c r="H25" s="14"/>
      <c r="I25" s="14"/>
      <c r="J25" s="14"/>
      <c r="K25" s="14"/>
    </row>
    <row r="26" spans="1:12">
      <c r="D26" s="15"/>
      <c r="E26" s="15"/>
      <c r="F26" s="14"/>
      <c r="G26" s="14"/>
      <c r="H26" s="14"/>
      <c r="I26" s="14"/>
      <c r="J26" s="14"/>
      <c r="K26" s="14"/>
    </row>
    <row r="27" spans="1:12">
      <c r="D27" s="15"/>
      <c r="E27" s="15"/>
      <c r="F27" s="14"/>
      <c r="G27" s="14"/>
      <c r="H27" s="14"/>
      <c r="I27" s="14"/>
      <c r="J27" s="14"/>
      <c r="K27" s="14"/>
    </row>
    <row r="28" spans="1:12">
      <c r="D28" s="15"/>
      <c r="E28" s="15"/>
      <c r="F28" s="14"/>
      <c r="G28" s="14"/>
      <c r="H28" s="14"/>
      <c r="I28" s="14"/>
      <c r="J28" s="14"/>
      <c r="K28" s="14"/>
    </row>
    <row r="29" spans="1:12">
      <c r="D29" s="15"/>
      <c r="E29" s="15"/>
      <c r="F29" s="14"/>
      <c r="G29" s="14"/>
      <c r="H29" s="14"/>
      <c r="I29" s="14"/>
      <c r="J29" s="14"/>
      <c r="K29" s="14"/>
    </row>
    <row r="30" spans="1:12">
      <c r="D30" s="15"/>
      <c r="E30" s="15"/>
      <c r="F30" s="14"/>
      <c r="G30" s="14"/>
      <c r="H30" s="14"/>
      <c r="I30" s="14"/>
      <c r="J30" s="14"/>
      <c r="K30" s="14"/>
    </row>
    <row r="31" spans="1:12">
      <c r="D31" s="15"/>
      <c r="E31" s="15"/>
      <c r="F31" s="14"/>
      <c r="G31" s="14"/>
      <c r="H31" s="14"/>
      <c r="I31" s="14"/>
      <c r="J31" s="14"/>
      <c r="K31" s="14"/>
    </row>
    <row r="32" spans="1:12">
      <c r="D32" s="15"/>
      <c r="E32" s="15"/>
      <c r="F32" s="14"/>
      <c r="G32" s="14"/>
      <c r="H32" s="14"/>
      <c r="I32" s="14"/>
      <c r="J32" s="14"/>
      <c r="K32" s="14"/>
    </row>
    <row r="40" spans="6:13">
      <c r="F40" s="13"/>
      <c r="G40" s="13"/>
      <c r="H40" s="13"/>
      <c r="I40" s="13"/>
      <c r="J40" s="13"/>
      <c r="K40" s="13"/>
      <c r="L40" s="13"/>
      <c r="M40" s="13"/>
    </row>
    <row r="41" spans="6:13">
      <c r="F41" s="15"/>
      <c r="G41" s="15"/>
      <c r="H41" s="14"/>
      <c r="I41" s="14"/>
      <c r="J41" s="14"/>
      <c r="K41" s="14"/>
      <c r="L41" s="14"/>
      <c r="M41" s="14"/>
    </row>
    <row r="42" spans="6:13">
      <c r="F42" s="15"/>
      <c r="G42" s="15"/>
      <c r="H42" s="14"/>
      <c r="I42" s="14"/>
      <c r="J42" s="14"/>
      <c r="K42" s="14"/>
      <c r="L42" s="14"/>
      <c r="M42" s="14"/>
    </row>
    <row r="43" spans="6:13">
      <c r="F43" s="15"/>
      <c r="G43" s="15"/>
      <c r="H43" s="14"/>
      <c r="I43" s="14"/>
      <c r="J43" s="14"/>
      <c r="K43" s="14"/>
      <c r="L43" s="14"/>
      <c r="M43" s="14"/>
    </row>
    <row r="44" spans="6:13">
      <c r="F44" s="15"/>
      <c r="G44" s="15"/>
      <c r="H44" s="14"/>
      <c r="I44" s="14"/>
      <c r="J44" s="14"/>
      <c r="K44" s="14"/>
      <c r="L44" s="14"/>
      <c r="M44" s="14"/>
    </row>
    <row r="45" spans="6:13">
      <c r="F45" s="15"/>
      <c r="G45" s="15"/>
      <c r="H45" s="14"/>
      <c r="I45" s="14"/>
      <c r="J45" s="14"/>
      <c r="K45" s="14"/>
      <c r="L45" s="14"/>
      <c r="M45" s="14"/>
    </row>
    <row r="46" spans="6:13">
      <c r="F46" s="15"/>
      <c r="G46" s="15"/>
      <c r="H46" s="14"/>
      <c r="I46" s="14"/>
      <c r="J46" s="14"/>
      <c r="K46" s="14"/>
      <c r="L46" s="14"/>
      <c r="M46" s="14"/>
    </row>
    <row r="47" spans="6:13">
      <c r="F47" s="15"/>
      <c r="G47" s="15"/>
      <c r="H47" s="14"/>
      <c r="I47" s="14"/>
      <c r="J47" s="14"/>
      <c r="K47" s="14"/>
      <c r="L47" s="14"/>
      <c r="M47" s="14"/>
    </row>
    <row r="48" spans="6:13">
      <c r="F48" s="15"/>
      <c r="G48" s="15"/>
      <c r="H48" s="14"/>
      <c r="I48" s="14"/>
      <c r="J48" s="14"/>
      <c r="K48" s="14"/>
      <c r="L48" s="14"/>
      <c r="M48" s="14"/>
    </row>
    <row r="49" spans="6:13">
      <c r="F49" s="15"/>
      <c r="G49" s="15"/>
      <c r="H49" s="14"/>
      <c r="I49" s="14"/>
      <c r="J49" s="14"/>
      <c r="K49" s="14"/>
      <c r="L49" s="14"/>
      <c r="M49" s="14"/>
    </row>
    <row r="50" spans="6:13">
      <c r="F50" s="15"/>
      <c r="G50" s="15"/>
      <c r="H50" s="14"/>
      <c r="I50" s="14"/>
      <c r="J50" s="14"/>
      <c r="K50" s="14"/>
      <c r="L50" s="14"/>
      <c r="M50" s="14"/>
    </row>
    <row r="51" spans="6:13">
      <c r="F51" s="15"/>
      <c r="G51" s="15"/>
      <c r="H51" s="14"/>
      <c r="I51" s="14"/>
      <c r="J51" s="14"/>
      <c r="K51" s="14"/>
      <c r="L51" s="14"/>
      <c r="M51" s="14"/>
    </row>
    <row r="52" spans="6:13">
      <c r="F52" s="15"/>
      <c r="G52" s="15"/>
      <c r="H52" s="14"/>
      <c r="I52" s="14"/>
      <c r="J52" s="14"/>
      <c r="K52" s="14"/>
      <c r="L52" s="14"/>
      <c r="M52" s="14"/>
    </row>
  </sheetData>
  <sortState xmlns:xlrd2="http://schemas.microsoft.com/office/spreadsheetml/2017/richdata2" ref="A2:A11">
    <sortCondition ref="A2:A11"/>
  </sortState>
  <mergeCells count="1"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Mechs</vt:lpstr>
      <vt:lpstr>Vehicles</vt:lpstr>
      <vt:lpstr>Asset Modules</vt:lpstr>
      <vt:lpstr>Misc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Cember, Ariel Frank</dc:creator>
  <cp:lastModifiedBy>Cember, Ariel Frank</cp:lastModifiedBy>
  <dcterms:created xsi:type="dcterms:W3CDTF">2026-05-13T19:39:05Z</dcterms:created>
  <dcterms:modified xsi:type="dcterms:W3CDTF">2026-05-21T07:00:33Z</dcterms:modified>
</cp:coreProperties>
</file>