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oundryData-Dev\Data\systems\mwd\docs\"/>
    </mc:Choice>
  </mc:AlternateContent>
  <xr:revisionPtr revIDLastSave="0" documentId="13_ncr:1_{961015C9-46B8-42CA-974E-71A6DF59CF20}" xr6:coauthVersionLast="47" xr6:coauthVersionMax="47" xr10:uidLastSave="{00000000-0000-0000-0000-000000000000}"/>
  <bookViews>
    <workbookView xWindow="22440" yWindow="2175" windowWidth="24885" windowHeight="19275" xr2:uid="{8D44F242-D0B2-4B9E-94CF-33F11494976A}"/>
  </bookViews>
  <sheets>
    <sheet name="Mechs" sheetId="1" r:id="rId1"/>
    <sheet name="Asset Modules" sheetId="2" r:id="rId2"/>
    <sheet name="Misc Tables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32" i="1" l="1"/>
  <c r="U4" i="1"/>
  <c r="J2" i="4"/>
  <c r="K14" i="4"/>
  <c r="J16" i="4"/>
  <c r="K28" i="4"/>
  <c r="L17" i="4"/>
  <c r="L18" i="4"/>
  <c r="L19" i="4"/>
  <c r="L20" i="4"/>
  <c r="L21" i="4"/>
  <c r="L22" i="4"/>
  <c r="L23" i="4"/>
  <c r="J23" i="4" s="1"/>
  <c r="L24" i="4"/>
  <c r="J24" i="4" s="1"/>
  <c r="L25" i="4"/>
  <c r="L26" i="4"/>
  <c r="J26" i="4" s="1"/>
  <c r="L27" i="4"/>
  <c r="J14" i="4"/>
  <c r="J15" i="4"/>
  <c r="J17" i="4"/>
  <c r="J18" i="4"/>
  <c r="J19" i="4"/>
  <c r="J20" i="4"/>
  <c r="J21" i="4"/>
  <c r="J22" i="4"/>
  <c r="J25" i="4"/>
  <c r="J27" i="4"/>
  <c r="L16" i="4"/>
  <c r="J3" i="4"/>
  <c r="J4" i="4"/>
  <c r="J5" i="4"/>
  <c r="J6" i="4"/>
  <c r="J7" i="4"/>
  <c r="J8" i="4"/>
  <c r="J9" i="4"/>
  <c r="J10" i="4"/>
  <c r="J11" i="4"/>
  <c r="J12" i="4"/>
  <c r="L2" i="4"/>
  <c r="L3" i="4"/>
  <c r="L4" i="4"/>
  <c r="L5" i="4"/>
  <c r="L6" i="4"/>
  <c r="L7" i="4"/>
  <c r="L8" i="4"/>
  <c r="L9" i="4"/>
  <c r="L10" i="4"/>
  <c r="L11" i="4"/>
  <c r="L12" i="4"/>
  <c r="J13" i="4"/>
  <c r="L13" i="4"/>
  <c r="G28" i="4"/>
  <c r="G14" i="4"/>
  <c r="K3" i="4"/>
  <c r="K4" i="4"/>
  <c r="K5" i="4"/>
  <c r="K6" i="4"/>
  <c r="K7" i="4"/>
  <c r="K8" i="4"/>
  <c r="K9" i="4"/>
  <c r="K10" i="4"/>
  <c r="K11" i="4"/>
  <c r="K12" i="4"/>
  <c r="K13" i="4"/>
  <c r="K16" i="4"/>
  <c r="K17" i="4"/>
  <c r="K18" i="4"/>
  <c r="K19" i="4"/>
  <c r="K20" i="4"/>
  <c r="K21" i="4"/>
  <c r="K22" i="4"/>
  <c r="K23" i="4"/>
  <c r="K24" i="4"/>
  <c r="K25" i="4"/>
  <c r="K26" i="4"/>
  <c r="K27" i="4"/>
  <c r="K30" i="4"/>
  <c r="K31" i="4"/>
  <c r="K32" i="4"/>
  <c r="K33" i="4"/>
  <c r="K34" i="4"/>
  <c r="K35" i="4"/>
  <c r="K36" i="4"/>
  <c r="K37" i="4"/>
  <c r="K38" i="4"/>
  <c r="K39" i="4"/>
  <c r="K40" i="4"/>
  <c r="K41" i="4"/>
  <c r="K44" i="4"/>
  <c r="K45" i="4"/>
  <c r="K46" i="4"/>
  <c r="K47" i="4"/>
  <c r="K48" i="4"/>
  <c r="K49" i="4"/>
  <c r="K50" i="4"/>
  <c r="K51" i="4"/>
  <c r="K52" i="4"/>
  <c r="K53" i="4"/>
  <c r="K54" i="4"/>
  <c r="K55" i="4"/>
  <c r="K2" i="4"/>
  <c r="U42" i="1"/>
  <c r="U28" i="1"/>
  <c r="U29" i="1"/>
  <c r="U15" i="1"/>
  <c r="U39" i="1"/>
  <c r="U38" i="1"/>
  <c r="U37" i="1"/>
  <c r="U33" i="1"/>
  <c r="U49" i="1"/>
  <c r="U46" i="1"/>
  <c r="U47" i="1"/>
  <c r="U48" i="1"/>
  <c r="U50" i="1"/>
  <c r="U51" i="1"/>
  <c r="U52" i="1"/>
  <c r="U53" i="1"/>
  <c r="U54" i="1"/>
  <c r="U45" i="1"/>
  <c r="U30" i="1"/>
  <c r="U31" i="1"/>
  <c r="U34" i="1"/>
  <c r="U35" i="1"/>
  <c r="U36" i="1"/>
  <c r="U40" i="1"/>
  <c r="U41" i="1"/>
  <c r="U43" i="1"/>
  <c r="U44" i="1"/>
  <c r="U3" i="1"/>
  <c r="U7" i="1"/>
  <c r="U5" i="1"/>
  <c r="U6" i="1"/>
  <c r="U8" i="1"/>
  <c r="U9" i="1"/>
  <c r="U10" i="1"/>
  <c r="U11" i="1"/>
  <c r="U12" i="1"/>
  <c r="U13" i="1"/>
  <c r="U14" i="1"/>
  <c r="U16" i="1"/>
  <c r="U17" i="1"/>
  <c r="U18" i="1"/>
  <c r="U19" i="1"/>
  <c r="U20" i="1"/>
  <c r="U21" i="1"/>
  <c r="U22" i="1"/>
  <c r="U23" i="1"/>
  <c r="U24" i="1"/>
  <c r="U25" i="1"/>
  <c r="U26" i="1"/>
  <c r="U27" i="1"/>
  <c r="U2" i="1"/>
</calcChain>
</file>

<file path=xl/sharedStrings.xml><?xml version="1.0" encoding="utf-8"?>
<sst xmlns="http://schemas.openxmlformats.org/spreadsheetml/2006/main" count="530" uniqueCount="256">
  <si>
    <t>Chassis</t>
  </si>
  <si>
    <t>Weight Class</t>
  </si>
  <si>
    <t>Tonnage</t>
  </si>
  <si>
    <t>Movement</t>
  </si>
  <si>
    <t>Armor</t>
  </si>
  <si>
    <t>Structure</t>
  </si>
  <si>
    <t>Heat Dissipation</t>
  </si>
  <si>
    <t>Weapon Groups</t>
  </si>
  <si>
    <t>Model</t>
  </si>
  <si>
    <t>Designation</t>
  </si>
  <si>
    <t>LCT-1V</t>
  </si>
  <si>
    <t>Locust</t>
  </si>
  <si>
    <t>Light</t>
  </si>
  <si>
    <t>Quirk</t>
  </si>
  <si>
    <t>C-Bills</t>
  </si>
  <si>
    <t>Point Cost</t>
  </si>
  <si>
    <t>Tags</t>
  </si>
  <si>
    <t>Handling</t>
  </si>
  <si>
    <t>System</t>
  </si>
  <si>
    <t>Reliability</t>
  </si>
  <si>
    <t>STG-3R</t>
  </si>
  <si>
    <t>Stinger</t>
  </si>
  <si>
    <t>Wasp</t>
  </si>
  <si>
    <t>COM-2D</t>
  </si>
  <si>
    <t>Commando</t>
  </si>
  <si>
    <t>VLK-QA</t>
  </si>
  <si>
    <t>Valkyrie</t>
  </si>
  <si>
    <t>PXH-1</t>
  </si>
  <si>
    <t>Phoenix Hawk</t>
  </si>
  <si>
    <t>Medium</t>
  </si>
  <si>
    <t>GRF-1N</t>
  </si>
  <si>
    <t>Griffin</t>
  </si>
  <si>
    <t>Shadow Hawk</t>
  </si>
  <si>
    <t>WVR-6R</t>
  </si>
  <si>
    <t>Wolverine</t>
  </si>
  <si>
    <t>Hunchback</t>
  </si>
  <si>
    <t>Centurion</t>
  </si>
  <si>
    <t>CN9-D</t>
  </si>
  <si>
    <t>HBK-4G</t>
  </si>
  <si>
    <t>Hermes</t>
  </si>
  <si>
    <t>Javelin</t>
  </si>
  <si>
    <t>Spider</t>
  </si>
  <si>
    <t>Panther</t>
  </si>
  <si>
    <t>Raven</t>
  </si>
  <si>
    <t>Wolfhound</t>
  </si>
  <si>
    <t>HER-1S</t>
  </si>
  <si>
    <t>JVN-10P</t>
  </si>
  <si>
    <t>SDR-5D</t>
  </si>
  <si>
    <t>PNT-9R</t>
  </si>
  <si>
    <t>RVN-4L</t>
  </si>
  <si>
    <t>MON-66</t>
  </si>
  <si>
    <t>Mongoose</t>
  </si>
  <si>
    <t>CDA-2B</t>
  </si>
  <si>
    <t>Cicada</t>
  </si>
  <si>
    <t>VT-5S</t>
  </si>
  <si>
    <t>Vulcan</t>
  </si>
  <si>
    <t>Blackjack</t>
  </si>
  <si>
    <t>BJ-1</t>
  </si>
  <si>
    <t>VND-1R</t>
  </si>
  <si>
    <t>Vindicator</t>
  </si>
  <si>
    <t>Starslayer</t>
  </si>
  <si>
    <t>STY-2C-EC</t>
  </si>
  <si>
    <t>Mech Role</t>
  </si>
  <si>
    <t>Scout</t>
  </si>
  <si>
    <t>Brawler</t>
  </si>
  <si>
    <t>Skirmisher</t>
  </si>
  <si>
    <t>Fire Support</t>
  </si>
  <si>
    <t>Sniper</t>
  </si>
  <si>
    <t>Command</t>
  </si>
  <si>
    <t>Ambusher</t>
  </si>
  <si>
    <t>Striker</t>
  </si>
  <si>
    <t>Trooper</t>
  </si>
  <si>
    <t>Juggernaut</t>
  </si>
  <si>
    <t>Role</t>
  </si>
  <si>
    <t>WLF-2</t>
  </si>
  <si>
    <t>SHD-2D</t>
  </si>
  <si>
    <t>UZL-3S</t>
  </si>
  <si>
    <t>Uziel</t>
  </si>
  <si>
    <t>DRG-1N</t>
  </si>
  <si>
    <t>Dragon</t>
  </si>
  <si>
    <t>RFL-3N</t>
  </si>
  <si>
    <t>Rifleman</t>
  </si>
  <si>
    <t>TDR-5S</t>
  </si>
  <si>
    <t>Thunderbolt</t>
  </si>
  <si>
    <t>CPLT-C1</t>
  </si>
  <si>
    <t>Catapult</t>
  </si>
  <si>
    <t>ARC-2R</t>
  </si>
  <si>
    <t>Archer</t>
  </si>
  <si>
    <t>WHM-6R</t>
  </si>
  <si>
    <t>Warhammer</t>
  </si>
  <si>
    <t>MAD-3R</t>
  </si>
  <si>
    <t>Marauder</t>
  </si>
  <si>
    <t>AWS-8Q</t>
  </si>
  <si>
    <t>Awesome</t>
  </si>
  <si>
    <t>BLR-1G</t>
  </si>
  <si>
    <t>Battlemaster</t>
  </si>
  <si>
    <t>Heavy</t>
  </si>
  <si>
    <t>Assault</t>
  </si>
  <si>
    <t>CRD-3R</t>
  </si>
  <si>
    <t>Crusader</t>
  </si>
  <si>
    <t>Black Knight</t>
  </si>
  <si>
    <t>Grasshopper</t>
  </si>
  <si>
    <t>GHR-5H</t>
  </si>
  <si>
    <t>BL-6-KNT</t>
  </si>
  <si>
    <t>ON1-K</t>
  </si>
  <si>
    <t>Orion</t>
  </si>
  <si>
    <t>STK-3F</t>
  </si>
  <si>
    <t>Stalker</t>
  </si>
  <si>
    <t>GOL-1H</t>
  </si>
  <si>
    <t>Goliath</t>
  </si>
  <si>
    <t>HGN-732</t>
  </si>
  <si>
    <t>Highlander</t>
  </si>
  <si>
    <t>BNC-3M</t>
  </si>
  <si>
    <t>Banshee</t>
  </si>
  <si>
    <t>ANH-1A</t>
  </si>
  <si>
    <t>Annihilator</t>
  </si>
  <si>
    <t>AS7-D</t>
  </si>
  <si>
    <t>Atlas</t>
  </si>
  <si>
    <t>Devastator</t>
  </si>
  <si>
    <t>King Crab</t>
  </si>
  <si>
    <t>VTR-9K</t>
  </si>
  <si>
    <t>Victor</t>
  </si>
  <si>
    <t>MAL-1R</t>
  </si>
  <si>
    <t>Mauler</t>
  </si>
  <si>
    <t>DVS-2</t>
  </si>
  <si>
    <t>KGC-000</t>
  </si>
  <si>
    <t>AXM-1N</t>
  </si>
  <si>
    <t>Axman</t>
  </si>
  <si>
    <t>Lance Roles</t>
  </si>
  <si>
    <t>Recon</t>
  </si>
  <si>
    <t>Strike</t>
  </si>
  <si>
    <t>Battle</t>
  </si>
  <si>
    <t>Breaching</t>
  </si>
  <si>
    <t>Raider</t>
  </si>
  <si>
    <t>Mech</t>
  </si>
  <si>
    <t>HND</t>
  </si>
  <si>
    <t>SYS</t>
  </si>
  <si>
    <t>REL</t>
  </si>
  <si>
    <t>CHS</t>
  </si>
  <si>
    <t>Struct</t>
  </si>
  <si>
    <t>Diss</t>
  </si>
  <si>
    <t>Thermal Profile</t>
  </si>
  <si>
    <t>Jump</t>
  </si>
  <si>
    <t>Yes</t>
  </si>
  <si>
    <t>No</t>
  </si>
  <si>
    <t>Code</t>
  </si>
  <si>
    <t>Tier</t>
  </si>
  <si>
    <t>Safe</t>
  </si>
  <si>
    <t>Hot</t>
  </si>
  <si>
    <t>Overheat</t>
  </si>
  <si>
    <t>Danger</t>
  </si>
  <si>
    <t>C</t>
  </si>
  <si>
    <t>0–1</t>
  </si>
  <si>
    <t>5–6</t>
  </si>
  <si>
    <t>7+</t>
  </si>
  <si>
    <t>B</t>
  </si>
  <si>
    <t>0–2</t>
  </si>
  <si>
    <t>3–4</t>
  </si>
  <si>
    <t>3–5</t>
  </si>
  <si>
    <t>6–7</t>
  </si>
  <si>
    <t>8+</t>
  </si>
  <si>
    <t>0–3</t>
  </si>
  <si>
    <t>4–5</t>
  </si>
  <si>
    <t>A</t>
  </si>
  <si>
    <t>4–6</t>
  </si>
  <si>
    <t>7–8</t>
  </si>
  <si>
    <t>9+</t>
  </si>
  <si>
    <t>10+</t>
  </si>
  <si>
    <t>AA</t>
  </si>
  <si>
    <t>0–4</t>
  </si>
  <si>
    <t>5–7</t>
  </si>
  <si>
    <t>8–9</t>
  </si>
  <si>
    <t>AAA</t>
  </si>
  <si>
    <t>11+</t>
  </si>
  <si>
    <t>S</t>
  </si>
  <si>
    <t>0–5</t>
  </si>
  <si>
    <t>6–8</t>
  </si>
  <si>
    <t>9–11</t>
  </si>
  <si>
    <t>12+</t>
  </si>
  <si>
    <t>SS</t>
  </si>
  <si>
    <t>6–9</t>
  </si>
  <si>
    <t>10–12</t>
  </si>
  <si>
    <t>13+</t>
  </si>
  <si>
    <t>5–8</t>
  </si>
  <si>
    <t>9–12</t>
  </si>
  <si>
    <t>SSS</t>
  </si>
  <si>
    <t>0–6</t>
  </si>
  <si>
    <t>7–10</t>
  </si>
  <si>
    <t>11–14</t>
  </si>
  <si>
    <t>15+</t>
  </si>
  <si>
    <t>Deploy Cost</t>
  </si>
  <si>
    <t>Typical Use</t>
  </si>
  <si>
    <t>HT-01</t>
  </si>
  <si>
    <t>D</t>
  </si>
  <si>
    <t>2–3</t>
  </si>
  <si>
    <t>6+</t>
  </si>
  <si>
    <t>catastrophic heat problems</t>
  </si>
  <si>
    <t>HT-02</t>
  </si>
  <si>
    <t>poor SHS designs</t>
  </si>
  <si>
    <t>HT-03</t>
  </si>
  <si>
    <t>workable but stressed</t>
  </si>
  <si>
    <t>HT-04</t>
  </si>
  <si>
    <t>standard Inner Sphere</t>
  </si>
  <si>
    <t>HT-05</t>
  </si>
  <si>
    <t>efficient SHS / elite designs</t>
  </si>
  <si>
    <t>HT-06</t>
  </si>
  <si>
    <t>9–10</t>
  </si>
  <si>
    <t>very efficient DHS</t>
  </si>
  <si>
    <t>HT-07</t>
  </si>
  <si>
    <t>standard DHS</t>
  </si>
  <si>
    <t>HT-08</t>
  </si>
  <si>
    <t>elite DHS sustained fire</t>
  </si>
  <si>
    <t>HT-09</t>
  </si>
  <si>
    <t>Clan “icebox”</t>
  </si>
  <si>
    <t>HT-10</t>
  </si>
  <si>
    <t>X</t>
  </si>
  <si>
    <t>0–7</t>
  </si>
  <si>
    <t>8–11</t>
  </si>
  <si>
    <t>12–15</t>
  </si>
  <si>
    <t>16+</t>
  </si>
  <si>
    <t>elite Clan/endgame</t>
  </si>
  <si>
    <t>HT-11</t>
  </si>
  <si>
    <t>XX</t>
  </si>
  <si>
    <t>0–8</t>
  </si>
  <si>
    <t>13–16</t>
  </si>
  <si>
    <t>17+</t>
  </si>
  <si>
    <t>absurd experimental</t>
  </si>
  <si>
    <t>HT-12</t>
  </si>
  <si>
    <t>XXX</t>
  </si>
  <si>
    <t>0–9</t>
  </si>
  <si>
    <t>10–13</t>
  </si>
  <si>
    <t>14–18</t>
  </si>
  <si>
    <t>19+</t>
  </si>
  <si>
    <t>near-thermal immunity</t>
  </si>
  <si>
    <t>Track Size</t>
  </si>
  <si>
    <t>WSP-100</t>
  </si>
  <si>
    <t>Wasp LAM</t>
  </si>
  <si>
    <t>FLE-17</t>
  </si>
  <si>
    <t>Flea</t>
  </si>
  <si>
    <t>QKD-5M</t>
  </si>
  <si>
    <t>Quickdraw</t>
  </si>
  <si>
    <t>Structural Cost</t>
  </si>
  <si>
    <t>Component</t>
  </si>
  <si>
    <t>Formula</t>
  </si>
  <si>
    <t>Myomer</t>
  </si>
  <si>
    <t>Engine</t>
  </si>
  <si>
    <t>Type</t>
  </si>
  <si>
    <t>Standard</t>
  </si>
  <si>
    <t>Gyro</t>
  </si>
  <si>
    <t>XL</t>
  </si>
  <si>
    <t>EngRate X 3750</t>
  </si>
  <si>
    <t>EngRate X Tonnage X 67</t>
  </si>
  <si>
    <t>EngRate X 3000</t>
  </si>
  <si>
    <t>Tonnage X 2000</t>
  </si>
  <si>
    <t>EngRate X Tonnage X 267</t>
  </si>
  <si>
    <t>Actuators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</si>
</sst>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-2]\ * #,##0_);_([$€-2]\ * \(#,##0\);_([$€-2]\ * &quot;-&quot;??_);_(@_)"/>
    <numFmt numFmtId="165" formatCode="_([$€-2]\ * #,##0_);_([$€-2]\ * \(#,##0\);_([$€-2]\ * &quot;-&quot;????_);_(@_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" fontId="0" fillId="0" borderId="0" xfId="0" applyNumberFormat="1"/>
    <xf numFmtId="9" fontId="0" fillId="0" borderId="0" xfId="1" applyFont="1"/>
    <xf numFmtId="9" fontId="0" fillId="0" borderId="0" xfId="1" applyNumberFormat="1" applyFont="1"/>
    <xf numFmtId="1" fontId="0" fillId="0" borderId="0" xfId="0" applyNumberFormat="1" applyAlignment="1">
      <alignment horizontal="right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 applyAlignment="1">
      <alignment horizontal="center" vertical="center"/>
    </xf>
    <xf numFmtId="165" fontId="1" fillId="2" borderId="0" xfId="0" applyNumberFormat="1" applyFont="1" applyFill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15">
    <dxf>
      <alignment horizontal="center" textRotation="0" indent="0" justifyLastLine="0" shrinkToFit="0" readingOrder="0"/>
    </dxf>
    <dxf>
      <numFmt numFmtId="164" formatCode="_([$€-2]\ * #,##0_);_([$€-2]\ * \(#,##0\);_([$€-2]\ * &quot;-&quot;??_);_(@_)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_([$€-2]\ * #,##0_);_([$€-2]\ * \(#,##0\);_([$€-2]\ * &quot;-&quot;????_);_(@_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1CAF6D-0208-4038-886B-5074FE9AD89F}" name="Table2" displayName="Table2" ref="A1:U54" totalsRowShown="0" headerRowDxfId="5">
  <autoFilter ref="A1:U54" xr:uid="{6E1CAF6D-0208-4038-886B-5074FE9AD8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99E7DF86-D7C0-49CC-8D73-AC2552E8FD6F}" name="Model"/>
    <tableColumn id="2" xr3:uid="{A0E8F771-705A-4F3C-B718-EE583E5DEEFD}" name="Designation"/>
    <tableColumn id="3" xr3:uid="{60B1183E-274E-4A08-AAB2-D385B8C660BC}" name="Weight Class"/>
    <tableColumn id="4" xr3:uid="{6DBF2415-F2A3-4C19-A8D4-E685B05EEAA3}" name="Tonnage" dataDxfId="14"/>
    <tableColumn id="5" xr3:uid="{1CB9D459-A39C-4402-B45A-DDADFA5D22EF}" name="Role"/>
    <tableColumn id="6" xr3:uid="{6FB569F8-DE48-400D-972E-32AA4638F32E}" name="Movement" dataDxfId="13"/>
    <tableColumn id="7" xr3:uid="{060221F4-9CD2-493C-A589-5AFA79F22A9D}" name="Jump" dataDxfId="12"/>
    <tableColumn id="8" xr3:uid="{984550C1-15E2-48D3-B147-91E7C7986015}" name="Armor" dataDxfId="11"/>
    <tableColumn id="9" xr3:uid="{B72349A2-1DA5-49F2-B1BC-0A3328934E65}" name="Structure" dataDxfId="10"/>
    <tableColumn id="10" xr3:uid="{BDA830D9-B1BA-416B-B84D-9440BD00C757}" name="Heat Dissipation" dataDxfId="9"/>
    <tableColumn id="11" xr3:uid="{1882AD50-E1A1-4729-839F-58DAA4CFAE55}" name="Thermal Profile" dataDxfId="8"/>
    <tableColumn id="12" xr3:uid="{269284FF-C57C-4360-8BF9-4EE874395A7A}" name="Weapon Groups"/>
    <tableColumn id="13" xr3:uid="{01B03644-9157-421F-9613-BFC910F63E24}" name="Quirk"/>
    <tableColumn id="14" xr3:uid="{C1C33636-A054-41D9-8E1F-947C146ABE39}" name="Handling" dataDxfId="4"/>
    <tableColumn id="15" xr3:uid="{54BCA419-F4D3-45CA-A25D-8CC6D4A82955}" name="System" dataDxfId="3"/>
    <tableColumn id="16" xr3:uid="{D81E916F-7F83-4E24-A792-A34498F134BD}" name="Chassis" dataDxfId="2"/>
    <tableColumn id="17" xr3:uid="{A01C96FC-347B-4D67-8B70-97F7B0DCC1CC}" name="Reliability" dataDxfId="0"/>
    <tableColumn id="18" xr3:uid="{A34999C4-6145-4324-9CD5-ECA43D0A40DA}" name="C-Bills" dataDxfId="1"/>
    <tableColumn id="19" xr3:uid="{E58EE8B7-3527-416F-89C7-C168D93114AA}" name="Point Cost" dataDxfId="7"/>
    <tableColumn id="20" xr3:uid="{71094815-E36D-4A55-B5AD-3C9E4B6BC59C}" name="Tags"/>
    <tableColumn id="21" xr3:uid="{4026F33E-50AD-4E08-B447-19387B8F9997}" name="Deploy Cost" dataDxfId="6">
      <calculatedColumnFormula>R2*0.0025</calculatedColumnFormula>
    </tableColumn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FFD4-FB15-4BD8-910B-EE32BF634ADE}">
  <dimension ref="A1:V113"/>
  <sheetViews>
    <sheetView tabSelected="1" workbookViewId="0">
      <pane xSplit="1" topLeftCell="B1" activePane="topRight" state="frozen"/>
      <selection pane="topRight" activeCell="K32" sqref="K32"/>
    </sheetView>
  </sheetViews>
  <sheetFormatPr defaultRowHeight="15" x14ac:dyDescent="0.25"/>
  <cols>
    <col min="1" max="1" width="9.7109375" bestFit="1" customWidth="1"/>
    <col min="2" max="2" width="15.28515625" customWidth="1"/>
    <col min="3" max="3" width="14.42578125" customWidth="1"/>
    <col min="4" max="4" width="10.7109375" customWidth="1"/>
    <col min="5" max="5" width="11.5703125" bestFit="1" customWidth="1"/>
    <col min="6" max="6" width="12.140625" customWidth="1"/>
    <col min="7" max="7" width="10" customWidth="1"/>
    <col min="8" max="8" width="8.5703125" customWidth="1"/>
    <col min="9" max="9" width="11" customWidth="1"/>
    <col min="10" max="10" width="17.7109375" customWidth="1"/>
    <col min="11" max="11" width="22.140625" customWidth="1"/>
    <col min="12" max="12" width="17.28515625" hidden="1" customWidth="1"/>
    <col min="13" max="13" width="0" hidden="1" customWidth="1"/>
    <col min="14" max="14" width="11.140625" customWidth="1"/>
    <col min="15" max="15" width="9.28515625" customWidth="1"/>
    <col min="16" max="16" width="10.140625" customWidth="1"/>
    <col min="17" max="17" width="11.85546875" customWidth="1"/>
    <col min="18" max="18" width="16.7109375" style="3" bestFit="1" customWidth="1"/>
    <col min="19" max="19" width="12" style="4" customWidth="1"/>
    <col min="20" max="20" width="9.140625" customWidth="1"/>
    <col min="21" max="21" width="13.140625" bestFit="1" customWidth="1"/>
  </cols>
  <sheetData>
    <row r="1" spans="1:22" x14ac:dyDescent="0.25">
      <c r="A1" s="1" t="s">
        <v>8</v>
      </c>
      <c r="B1" s="1" t="s">
        <v>9</v>
      </c>
      <c r="C1" s="1" t="s">
        <v>1</v>
      </c>
      <c r="D1" s="1" t="s">
        <v>2</v>
      </c>
      <c r="E1" s="1" t="s">
        <v>73</v>
      </c>
      <c r="F1" s="1" t="s">
        <v>3</v>
      </c>
      <c r="G1" s="1" t="s">
        <v>142</v>
      </c>
      <c r="H1" s="1" t="s">
        <v>4</v>
      </c>
      <c r="I1" s="1" t="s">
        <v>5</v>
      </c>
      <c r="J1" s="1" t="s">
        <v>6</v>
      </c>
      <c r="K1" s="1" t="s">
        <v>141</v>
      </c>
      <c r="L1" s="1" t="s">
        <v>7</v>
      </c>
      <c r="M1" s="1" t="s">
        <v>13</v>
      </c>
      <c r="N1" s="1" t="s">
        <v>17</v>
      </c>
      <c r="O1" s="1" t="s">
        <v>18</v>
      </c>
      <c r="P1" s="1" t="s">
        <v>0</v>
      </c>
      <c r="Q1" s="1" t="s">
        <v>19</v>
      </c>
      <c r="R1" s="2" t="s">
        <v>14</v>
      </c>
      <c r="S1" s="4" t="s">
        <v>15</v>
      </c>
      <c r="T1" s="1" t="s">
        <v>16</v>
      </c>
      <c r="U1" s="1" t="s">
        <v>190</v>
      </c>
      <c r="V1" s="1"/>
    </row>
    <row r="2" spans="1:22" x14ac:dyDescent="0.25">
      <c r="A2" t="s">
        <v>10</v>
      </c>
      <c r="B2" t="s">
        <v>11</v>
      </c>
      <c r="C2" t="s">
        <v>12</v>
      </c>
      <c r="D2" s="1">
        <v>20</v>
      </c>
      <c r="E2" t="s">
        <v>63</v>
      </c>
      <c r="F2" s="1">
        <v>240</v>
      </c>
      <c r="G2" s="1" t="s">
        <v>144</v>
      </c>
      <c r="H2" s="12">
        <v>14</v>
      </c>
      <c r="I2" s="12">
        <v>7</v>
      </c>
      <c r="J2" s="12">
        <v>2</v>
      </c>
      <c r="K2" s="12" t="s">
        <v>151</v>
      </c>
      <c r="N2" s="12">
        <v>6</v>
      </c>
      <c r="O2" s="12">
        <v>2</v>
      </c>
      <c r="P2" s="1">
        <v>3</v>
      </c>
      <c r="Q2" s="12">
        <v>2</v>
      </c>
      <c r="R2" s="3">
        <v>1511200</v>
      </c>
      <c r="S2" s="4">
        <v>18</v>
      </c>
      <c r="U2" s="5">
        <f>R2*0.0025</f>
        <v>3778</v>
      </c>
    </row>
    <row r="3" spans="1:22" x14ac:dyDescent="0.25">
      <c r="A3" t="s">
        <v>20</v>
      </c>
      <c r="B3" t="s">
        <v>21</v>
      </c>
      <c r="C3" t="s">
        <v>12</v>
      </c>
      <c r="D3" s="1">
        <v>20</v>
      </c>
      <c r="E3" t="s">
        <v>63</v>
      </c>
      <c r="F3" s="1">
        <v>180</v>
      </c>
      <c r="G3" s="1" t="s">
        <v>143</v>
      </c>
      <c r="H3" s="12">
        <v>15</v>
      </c>
      <c r="I3" s="12">
        <v>7</v>
      </c>
      <c r="J3" s="12">
        <v>3</v>
      </c>
      <c r="K3" s="12" t="s">
        <v>155</v>
      </c>
      <c r="N3" s="12">
        <v>5</v>
      </c>
      <c r="O3" s="12">
        <v>3</v>
      </c>
      <c r="P3" s="1">
        <v>3</v>
      </c>
      <c r="Q3" s="12">
        <v>2</v>
      </c>
      <c r="R3" s="3">
        <v>1614240</v>
      </c>
      <c r="S3" s="4">
        <v>14</v>
      </c>
      <c r="U3" s="5">
        <f t="shared" ref="U3:U54" si="0">R3*0.0025</f>
        <v>4035.6</v>
      </c>
    </row>
    <row r="4" spans="1:22" x14ac:dyDescent="0.25">
      <c r="A4" t="s">
        <v>237</v>
      </c>
      <c r="B4" t="s">
        <v>238</v>
      </c>
      <c r="C4" t="s">
        <v>12</v>
      </c>
      <c r="D4" s="1">
        <v>20</v>
      </c>
      <c r="E4" t="s">
        <v>70</v>
      </c>
      <c r="F4" s="1">
        <v>180</v>
      </c>
      <c r="G4" s="1" t="s">
        <v>144</v>
      </c>
      <c r="H4" s="12">
        <v>17</v>
      </c>
      <c r="I4" s="1">
        <v>7</v>
      </c>
      <c r="J4" s="12">
        <v>2</v>
      </c>
      <c r="K4" s="12" t="s">
        <v>151</v>
      </c>
      <c r="N4" s="12">
        <v>4</v>
      </c>
      <c r="O4" s="12"/>
      <c r="P4" s="1"/>
      <c r="Q4" s="12"/>
      <c r="R4" s="3">
        <v>1728000</v>
      </c>
      <c r="S4" s="4">
        <v>23</v>
      </c>
      <c r="U4" s="5">
        <f>R4*0.0025</f>
        <v>4320</v>
      </c>
    </row>
    <row r="5" spans="1:22" x14ac:dyDescent="0.25">
      <c r="A5" t="s">
        <v>23</v>
      </c>
      <c r="B5" t="s">
        <v>24</v>
      </c>
      <c r="C5" t="s">
        <v>12</v>
      </c>
      <c r="D5" s="1">
        <v>25</v>
      </c>
      <c r="E5" t="s">
        <v>70</v>
      </c>
      <c r="F5" s="1">
        <v>180</v>
      </c>
      <c r="G5" s="1" t="s">
        <v>144</v>
      </c>
      <c r="H5" s="12">
        <v>19</v>
      </c>
      <c r="I5" s="1">
        <v>9</v>
      </c>
      <c r="J5" s="12">
        <v>3</v>
      </c>
      <c r="K5" s="12" t="s">
        <v>151</v>
      </c>
      <c r="N5" s="12">
        <v>5</v>
      </c>
      <c r="O5" s="12">
        <v>2</v>
      </c>
      <c r="P5" s="1">
        <v>3</v>
      </c>
      <c r="Q5" s="12">
        <v>3</v>
      </c>
      <c r="R5" s="3">
        <v>1823750</v>
      </c>
      <c r="S5" s="4">
        <v>17</v>
      </c>
      <c r="U5" s="5">
        <f t="shared" si="0"/>
        <v>4559.375</v>
      </c>
    </row>
    <row r="6" spans="1:22" x14ac:dyDescent="0.25">
      <c r="A6" t="s">
        <v>50</v>
      </c>
      <c r="B6" t="s">
        <v>51</v>
      </c>
      <c r="C6" t="s">
        <v>12</v>
      </c>
      <c r="D6" s="1">
        <v>25</v>
      </c>
      <c r="E6" t="s">
        <v>63</v>
      </c>
      <c r="F6" s="1">
        <v>270</v>
      </c>
      <c r="G6" s="1" t="s">
        <v>144</v>
      </c>
      <c r="H6" s="12">
        <v>16</v>
      </c>
      <c r="I6" s="1">
        <v>9</v>
      </c>
      <c r="J6" s="12">
        <v>3</v>
      </c>
      <c r="K6" s="12" t="s">
        <v>168</v>
      </c>
      <c r="N6" s="12">
        <v>6</v>
      </c>
      <c r="O6" s="12">
        <v>4</v>
      </c>
      <c r="P6" s="1">
        <v>3</v>
      </c>
      <c r="Q6" s="12">
        <v>3</v>
      </c>
      <c r="R6" s="3">
        <v>2229479</v>
      </c>
      <c r="S6" s="4">
        <v>30</v>
      </c>
      <c r="U6" s="5">
        <f t="shared" si="0"/>
        <v>5573.6975000000002</v>
      </c>
    </row>
    <row r="7" spans="1:22" x14ac:dyDescent="0.25">
      <c r="A7" t="s">
        <v>235</v>
      </c>
      <c r="B7" t="s">
        <v>236</v>
      </c>
      <c r="C7" t="s">
        <v>12</v>
      </c>
      <c r="D7" s="1">
        <v>30</v>
      </c>
      <c r="E7" t="s">
        <v>63</v>
      </c>
      <c r="F7" s="1">
        <v>180</v>
      </c>
      <c r="G7" s="1" t="s">
        <v>143</v>
      </c>
      <c r="H7" s="12">
        <v>17</v>
      </c>
      <c r="I7" s="12">
        <v>11</v>
      </c>
      <c r="J7" s="12">
        <v>3</v>
      </c>
      <c r="K7" s="12" t="s">
        <v>155</v>
      </c>
      <c r="N7" s="12">
        <v>5</v>
      </c>
      <c r="O7" s="12">
        <v>3</v>
      </c>
      <c r="P7" s="1">
        <v>3</v>
      </c>
      <c r="Q7" s="12">
        <v>2</v>
      </c>
      <c r="R7" s="3">
        <v>3464370</v>
      </c>
      <c r="S7" s="4">
        <v>14</v>
      </c>
      <c r="U7" s="5">
        <f>R7*0.0025</f>
        <v>8660.9249999999993</v>
      </c>
    </row>
    <row r="8" spans="1:22" x14ac:dyDescent="0.25">
      <c r="A8" t="s">
        <v>25</v>
      </c>
      <c r="B8" t="s">
        <v>26</v>
      </c>
      <c r="C8" t="s">
        <v>12</v>
      </c>
      <c r="D8" s="1">
        <v>30</v>
      </c>
      <c r="E8" t="s">
        <v>66</v>
      </c>
      <c r="F8" s="1">
        <v>150</v>
      </c>
      <c r="G8" s="1" t="s">
        <v>143</v>
      </c>
      <c r="H8" s="12">
        <v>21</v>
      </c>
      <c r="I8" s="1">
        <v>11</v>
      </c>
      <c r="J8" s="12">
        <v>3</v>
      </c>
      <c r="K8" s="12" t="s">
        <v>168</v>
      </c>
      <c r="N8" s="12">
        <v>4</v>
      </c>
      <c r="O8" s="12">
        <v>3</v>
      </c>
      <c r="P8" s="1">
        <v>3</v>
      </c>
      <c r="Q8" s="12">
        <v>3</v>
      </c>
      <c r="R8" s="3">
        <v>2166320</v>
      </c>
      <c r="S8" s="4">
        <v>22</v>
      </c>
      <c r="U8" s="5">
        <f t="shared" si="0"/>
        <v>5415.8</v>
      </c>
    </row>
    <row r="9" spans="1:22" x14ac:dyDescent="0.25">
      <c r="A9" t="s">
        <v>45</v>
      </c>
      <c r="B9" t="s">
        <v>39</v>
      </c>
      <c r="C9" t="s">
        <v>12</v>
      </c>
      <c r="D9" s="1">
        <v>30</v>
      </c>
      <c r="E9" t="s">
        <v>65</v>
      </c>
      <c r="F9" s="1">
        <v>240</v>
      </c>
      <c r="G9" s="1" t="s">
        <v>144</v>
      </c>
      <c r="H9" s="12">
        <v>14</v>
      </c>
      <c r="I9" s="1">
        <v>11</v>
      </c>
      <c r="J9" s="12">
        <v>3</v>
      </c>
      <c r="K9" s="12" t="s">
        <v>155</v>
      </c>
      <c r="N9" s="12">
        <v>6</v>
      </c>
      <c r="O9" s="12">
        <v>2</v>
      </c>
      <c r="P9" s="1">
        <v>3</v>
      </c>
      <c r="Q9" s="12">
        <v>2</v>
      </c>
      <c r="R9" s="3">
        <v>2701270</v>
      </c>
      <c r="S9" s="4">
        <v>25</v>
      </c>
      <c r="U9" s="5">
        <f t="shared" si="0"/>
        <v>6753.1750000000002</v>
      </c>
    </row>
    <row r="10" spans="1:22" x14ac:dyDescent="0.25">
      <c r="A10" t="s">
        <v>46</v>
      </c>
      <c r="B10" t="s">
        <v>40</v>
      </c>
      <c r="C10" t="s">
        <v>12</v>
      </c>
      <c r="D10" s="1">
        <v>30</v>
      </c>
      <c r="E10" t="s">
        <v>66</v>
      </c>
      <c r="F10" s="1">
        <v>180</v>
      </c>
      <c r="G10" s="1" t="s">
        <v>143</v>
      </c>
      <c r="H10" s="12">
        <v>18</v>
      </c>
      <c r="I10" s="1">
        <v>11</v>
      </c>
      <c r="J10" s="12">
        <v>2</v>
      </c>
      <c r="K10" s="12" t="s">
        <v>193</v>
      </c>
      <c r="N10" s="12">
        <v>5</v>
      </c>
      <c r="O10" s="12">
        <v>2</v>
      </c>
      <c r="P10" s="1">
        <v>3</v>
      </c>
      <c r="Q10" s="12">
        <v>2</v>
      </c>
      <c r="R10" s="3">
        <v>2265640</v>
      </c>
      <c r="S10" s="4">
        <v>19</v>
      </c>
      <c r="U10" s="5">
        <f t="shared" si="0"/>
        <v>5664.1</v>
      </c>
    </row>
    <row r="11" spans="1:22" x14ac:dyDescent="0.25">
      <c r="A11" t="s">
        <v>47</v>
      </c>
      <c r="B11" t="s">
        <v>41</v>
      </c>
      <c r="C11" t="s">
        <v>12</v>
      </c>
      <c r="D11" s="1">
        <v>30</v>
      </c>
      <c r="E11" t="s">
        <v>63</v>
      </c>
      <c r="F11" s="1">
        <v>240</v>
      </c>
      <c r="G11" s="1" t="s">
        <v>143</v>
      </c>
      <c r="H11" s="12">
        <v>15</v>
      </c>
      <c r="I11" s="12">
        <v>11</v>
      </c>
      <c r="J11" s="12">
        <v>3</v>
      </c>
      <c r="K11" s="12" t="s">
        <v>168</v>
      </c>
      <c r="N11" s="12">
        <v>6</v>
      </c>
      <c r="O11" s="12">
        <v>3</v>
      </c>
      <c r="P11" s="1">
        <v>3</v>
      </c>
      <c r="Q11" s="12">
        <v>3</v>
      </c>
      <c r="R11" s="3">
        <v>2942290</v>
      </c>
      <c r="S11" s="4">
        <v>21</v>
      </c>
      <c r="U11" s="5">
        <f t="shared" si="0"/>
        <v>7355.7250000000004</v>
      </c>
    </row>
    <row r="12" spans="1:22" x14ac:dyDescent="0.25">
      <c r="A12" t="s">
        <v>48</v>
      </c>
      <c r="B12" t="s">
        <v>42</v>
      </c>
      <c r="C12" t="s">
        <v>12</v>
      </c>
      <c r="D12" s="1">
        <v>35</v>
      </c>
      <c r="E12" t="s">
        <v>67</v>
      </c>
      <c r="F12" s="1">
        <v>120</v>
      </c>
      <c r="G12" s="1" t="s">
        <v>143</v>
      </c>
      <c r="H12" s="12">
        <v>22</v>
      </c>
      <c r="I12" s="12">
        <v>13</v>
      </c>
      <c r="J12" s="12">
        <v>4</v>
      </c>
      <c r="K12" s="12" t="s">
        <v>168</v>
      </c>
      <c r="N12" s="12">
        <v>3</v>
      </c>
      <c r="O12" s="12">
        <v>4</v>
      </c>
      <c r="P12" s="1">
        <v>3</v>
      </c>
      <c r="Q12" s="12">
        <v>4</v>
      </c>
      <c r="R12" s="3">
        <v>2449260</v>
      </c>
      <c r="S12" s="4">
        <v>19</v>
      </c>
      <c r="U12" s="5">
        <f t="shared" si="0"/>
        <v>6123.1500000000005</v>
      </c>
    </row>
    <row r="13" spans="1:22" x14ac:dyDescent="0.25">
      <c r="A13" t="s">
        <v>49</v>
      </c>
      <c r="B13" t="s">
        <v>43</v>
      </c>
      <c r="C13" t="s">
        <v>12</v>
      </c>
      <c r="D13" s="1">
        <v>35</v>
      </c>
      <c r="E13" t="s">
        <v>68</v>
      </c>
      <c r="F13" s="1">
        <v>150</v>
      </c>
      <c r="G13" s="1" t="s">
        <v>144</v>
      </c>
      <c r="H13" s="12">
        <v>20</v>
      </c>
      <c r="I13" s="12">
        <v>13</v>
      </c>
      <c r="J13" s="12">
        <v>3</v>
      </c>
      <c r="K13" s="12" t="s">
        <v>168</v>
      </c>
      <c r="N13" s="12">
        <v>4</v>
      </c>
      <c r="O13" s="12">
        <v>6</v>
      </c>
      <c r="P13" s="1">
        <v>3</v>
      </c>
      <c r="Q13" s="12">
        <v>3</v>
      </c>
      <c r="R13" s="3">
        <v>2514825</v>
      </c>
      <c r="S13" s="4">
        <v>24</v>
      </c>
      <c r="U13" s="5">
        <f t="shared" si="0"/>
        <v>6287.0625</v>
      </c>
    </row>
    <row r="14" spans="1:22" x14ac:dyDescent="0.25">
      <c r="A14" t="s">
        <v>74</v>
      </c>
      <c r="B14" t="s">
        <v>44</v>
      </c>
      <c r="C14" t="s">
        <v>12</v>
      </c>
      <c r="D14" s="1">
        <v>35</v>
      </c>
      <c r="E14" t="s">
        <v>64</v>
      </c>
      <c r="F14" s="1">
        <v>180</v>
      </c>
      <c r="G14" s="1" t="s">
        <v>144</v>
      </c>
      <c r="H14" s="12">
        <v>24</v>
      </c>
      <c r="I14" s="12">
        <v>13</v>
      </c>
      <c r="J14" s="12">
        <v>4</v>
      </c>
      <c r="K14" s="12" t="s">
        <v>172</v>
      </c>
      <c r="N14" s="12">
        <v>4</v>
      </c>
      <c r="O14" s="12">
        <v>4</v>
      </c>
      <c r="P14" s="1">
        <v>3</v>
      </c>
      <c r="Q14" s="12">
        <v>5</v>
      </c>
      <c r="R14" s="6">
        <v>2925180</v>
      </c>
      <c r="S14" s="7">
        <v>24</v>
      </c>
      <c r="T14" s="8"/>
      <c r="U14" s="9">
        <f t="shared" si="0"/>
        <v>7312.95</v>
      </c>
    </row>
    <row r="15" spans="1:22" x14ac:dyDescent="0.25">
      <c r="A15" s="22"/>
      <c r="B15" s="22"/>
      <c r="C15" s="22"/>
      <c r="D15" s="23"/>
      <c r="E15" s="22"/>
      <c r="F15" s="23"/>
      <c r="G15" s="23"/>
      <c r="H15" s="23"/>
      <c r="I15" s="23"/>
      <c r="J15" s="22"/>
      <c r="K15" s="23"/>
      <c r="L15" s="22"/>
      <c r="M15" s="22"/>
      <c r="N15" s="23"/>
      <c r="O15" s="23"/>
      <c r="P15" s="23"/>
      <c r="Q15" s="23"/>
      <c r="R15" s="24"/>
      <c r="S15" s="25"/>
      <c r="T15" s="22"/>
      <c r="U15" s="26">
        <f>AVERAGE(R2:R14)</f>
        <v>2333524.923076923</v>
      </c>
    </row>
    <row r="16" spans="1:22" x14ac:dyDescent="0.25">
      <c r="A16" t="s">
        <v>52</v>
      </c>
      <c r="B16" t="s">
        <v>53</v>
      </c>
      <c r="C16" t="s">
        <v>29</v>
      </c>
      <c r="D16" s="1">
        <v>40</v>
      </c>
      <c r="E16" t="s">
        <v>63</v>
      </c>
      <c r="F16" s="1">
        <v>240</v>
      </c>
      <c r="G16" s="1" t="s">
        <v>144</v>
      </c>
      <c r="H16" s="12">
        <v>15</v>
      </c>
      <c r="I16" s="12">
        <v>14</v>
      </c>
      <c r="J16" s="12">
        <v>3</v>
      </c>
      <c r="K16" s="12" t="s">
        <v>163</v>
      </c>
      <c r="N16" s="12">
        <v>6</v>
      </c>
      <c r="O16" s="12">
        <v>2</v>
      </c>
      <c r="P16" s="1">
        <v>4</v>
      </c>
      <c r="Q16" s="12">
        <v>2</v>
      </c>
      <c r="R16" s="3">
        <v>3692967</v>
      </c>
      <c r="S16" s="4">
        <v>22</v>
      </c>
      <c r="U16" s="5">
        <f t="shared" si="0"/>
        <v>9232.4174999999996</v>
      </c>
    </row>
    <row r="17" spans="1:21" x14ac:dyDescent="0.25">
      <c r="A17" t="s">
        <v>54</v>
      </c>
      <c r="B17" t="s">
        <v>55</v>
      </c>
      <c r="C17" t="s">
        <v>29</v>
      </c>
      <c r="D17" s="1">
        <v>40</v>
      </c>
      <c r="E17" t="s">
        <v>71</v>
      </c>
      <c r="F17" s="1">
        <v>180</v>
      </c>
      <c r="G17" s="1" t="s">
        <v>143</v>
      </c>
      <c r="H17" s="12">
        <v>20</v>
      </c>
      <c r="I17" s="12">
        <v>14</v>
      </c>
      <c r="J17" s="12">
        <v>3</v>
      </c>
      <c r="K17" s="12" t="s">
        <v>168</v>
      </c>
      <c r="N17" s="12">
        <v>5</v>
      </c>
      <c r="O17" s="12">
        <v>2</v>
      </c>
      <c r="P17" s="1">
        <v>4</v>
      </c>
      <c r="Q17" s="12">
        <v>3</v>
      </c>
      <c r="R17" s="3">
        <v>7135100</v>
      </c>
      <c r="S17" s="4">
        <v>29</v>
      </c>
      <c r="U17" s="5">
        <f t="shared" si="0"/>
        <v>17837.75</v>
      </c>
    </row>
    <row r="18" spans="1:21" x14ac:dyDescent="0.25">
      <c r="A18" t="s">
        <v>57</v>
      </c>
      <c r="B18" t="s">
        <v>56</v>
      </c>
      <c r="C18" t="s">
        <v>29</v>
      </c>
      <c r="D18" s="1">
        <v>45</v>
      </c>
      <c r="E18" t="s">
        <v>67</v>
      </c>
      <c r="F18" s="1">
        <v>120</v>
      </c>
      <c r="G18" s="1" t="s">
        <v>144</v>
      </c>
      <c r="H18" s="12">
        <v>25</v>
      </c>
      <c r="I18" s="12">
        <v>15</v>
      </c>
      <c r="J18" s="12">
        <v>2</v>
      </c>
      <c r="K18" s="12" t="s">
        <v>151</v>
      </c>
      <c r="N18" s="12">
        <v>3</v>
      </c>
      <c r="O18" s="12">
        <v>4</v>
      </c>
      <c r="P18" s="1">
        <v>4</v>
      </c>
      <c r="Q18" s="12">
        <v>3</v>
      </c>
      <c r="R18" s="3">
        <v>3145775</v>
      </c>
      <c r="S18" s="4">
        <v>26</v>
      </c>
      <c r="U18" s="5">
        <f t="shared" si="0"/>
        <v>7864.4375</v>
      </c>
    </row>
    <row r="19" spans="1:21" x14ac:dyDescent="0.25">
      <c r="A19" t="s">
        <v>27</v>
      </c>
      <c r="B19" t="s">
        <v>28</v>
      </c>
      <c r="C19" t="s">
        <v>29</v>
      </c>
      <c r="D19" s="1">
        <v>45</v>
      </c>
      <c r="E19" t="s">
        <v>63</v>
      </c>
      <c r="F19" s="1">
        <v>180</v>
      </c>
      <c r="G19" s="1" t="s">
        <v>143</v>
      </c>
      <c r="H19" s="12">
        <v>25</v>
      </c>
      <c r="I19" s="12">
        <v>15</v>
      </c>
      <c r="J19" s="12">
        <v>4</v>
      </c>
      <c r="K19" s="12" t="s">
        <v>172</v>
      </c>
      <c r="N19" s="12">
        <v>6</v>
      </c>
      <c r="O19" s="12">
        <v>4</v>
      </c>
      <c r="P19" s="1">
        <v>4</v>
      </c>
      <c r="Q19" s="12">
        <v>3</v>
      </c>
      <c r="R19" s="3">
        <v>4066090</v>
      </c>
      <c r="S19" s="4">
        <v>26</v>
      </c>
      <c r="U19" s="5">
        <f t="shared" si="0"/>
        <v>10165.225</v>
      </c>
    </row>
    <row r="20" spans="1:21" x14ac:dyDescent="0.25">
      <c r="A20" t="s">
        <v>58</v>
      </c>
      <c r="B20" t="s">
        <v>59</v>
      </c>
      <c r="C20" t="s">
        <v>29</v>
      </c>
      <c r="D20" s="1">
        <v>45</v>
      </c>
      <c r="E20" t="s">
        <v>64</v>
      </c>
      <c r="F20" s="1">
        <v>120</v>
      </c>
      <c r="G20" s="1" t="s">
        <v>174</v>
      </c>
      <c r="H20" s="12">
        <v>28</v>
      </c>
      <c r="I20" s="12">
        <v>15</v>
      </c>
      <c r="J20" s="12">
        <v>5</v>
      </c>
      <c r="K20" s="12" t="s">
        <v>168</v>
      </c>
      <c r="N20" s="12">
        <v>4</v>
      </c>
      <c r="O20" s="12">
        <v>4</v>
      </c>
      <c r="P20" s="1">
        <v>4</v>
      </c>
      <c r="Q20" s="12">
        <v>5</v>
      </c>
      <c r="R20" s="3">
        <v>3137583</v>
      </c>
      <c r="S20" s="4">
        <v>27</v>
      </c>
      <c r="U20" s="5">
        <f t="shared" si="0"/>
        <v>7843.9575000000004</v>
      </c>
    </row>
    <row r="21" spans="1:21" x14ac:dyDescent="0.25">
      <c r="A21" t="s">
        <v>37</v>
      </c>
      <c r="B21" t="s">
        <v>36</v>
      </c>
      <c r="C21" t="s">
        <v>29</v>
      </c>
      <c r="D21" s="1">
        <v>50</v>
      </c>
      <c r="E21" t="s">
        <v>71</v>
      </c>
      <c r="F21" s="1">
        <v>120</v>
      </c>
      <c r="G21" s="1" t="s">
        <v>144</v>
      </c>
      <c r="H21" s="12">
        <v>33</v>
      </c>
      <c r="I21" s="12">
        <v>17</v>
      </c>
      <c r="J21" s="12">
        <v>3</v>
      </c>
      <c r="K21" s="12" t="s">
        <v>168</v>
      </c>
      <c r="N21" s="12">
        <v>4</v>
      </c>
      <c r="O21" s="12">
        <v>3</v>
      </c>
      <c r="P21" s="1">
        <v>4</v>
      </c>
      <c r="Q21" s="12">
        <v>5</v>
      </c>
      <c r="R21" s="3">
        <v>9448500</v>
      </c>
      <c r="S21" s="4">
        <v>28</v>
      </c>
      <c r="U21" s="5">
        <f t="shared" si="0"/>
        <v>23621.25</v>
      </c>
    </row>
    <row r="22" spans="1:21" x14ac:dyDescent="0.25">
      <c r="A22" t="s">
        <v>38</v>
      </c>
      <c r="B22" t="s">
        <v>35</v>
      </c>
      <c r="C22" t="s">
        <v>29</v>
      </c>
      <c r="D22" s="1">
        <v>50</v>
      </c>
      <c r="E22" t="s">
        <v>72</v>
      </c>
      <c r="F22" s="1">
        <v>120</v>
      </c>
      <c r="G22" s="1" t="s">
        <v>144</v>
      </c>
      <c r="H22" s="12">
        <v>38</v>
      </c>
      <c r="I22" s="12">
        <v>17</v>
      </c>
      <c r="J22" s="12">
        <v>3</v>
      </c>
      <c r="K22" s="12" t="s">
        <v>163</v>
      </c>
      <c r="N22" s="12">
        <v>3</v>
      </c>
      <c r="O22" s="12">
        <v>2</v>
      </c>
      <c r="P22" s="1">
        <v>4</v>
      </c>
      <c r="Q22" s="12">
        <v>5</v>
      </c>
      <c r="R22" s="3">
        <v>3437875</v>
      </c>
      <c r="S22" s="4">
        <v>28</v>
      </c>
      <c r="U22" s="5">
        <f t="shared" si="0"/>
        <v>8594.6875</v>
      </c>
    </row>
    <row r="23" spans="1:21" x14ac:dyDescent="0.25">
      <c r="A23" t="s">
        <v>61</v>
      </c>
      <c r="B23" t="s">
        <v>60</v>
      </c>
      <c r="C23" t="s">
        <v>29</v>
      </c>
      <c r="D23" s="1">
        <v>50</v>
      </c>
      <c r="E23" t="s">
        <v>65</v>
      </c>
      <c r="F23" s="1">
        <v>150</v>
      </c>
      <c r="G23" s="1" t="s">
        <v>143</v>
      </c>
      <c r="H23" s="12">
        <v>27</v>
      </c>
      <c r="I23" s="12">
        <v>17</v>
      </c>
      <c r="J23" s="12">
        <v>4</v>
      </c>
      <c r="K23" s="12" t="s">
        <v>172</v>
      </c>
      <c r="N23" s="12">
        <v>5</v>
      </c>
      <c r="O23" s="12">
        <v>5</v>
      </c>
      <c r="P23" s="1">
        <v>4</v>
      </c>
      <c r="Q23" s="12">
        <v>3</v>
      </c>
      <c r="R23" s="3">
        <v>4908125</v>
      </c>
      <c r="S23" s="4">
        <v>30</v>
      </c>
      <c r="U23" s="5">
        <f t="shared" si="0"/>
        <v>12270.3125</v>
      </c>
    </row>
    <row r="24" spans="1:21" x14ac:dyDescent="0.25">
      <c r="A24" t="s">
        <v>76</v>
      </c>
      <c r="B24" t="s">
        <v>77</v>
      </c>
      <c r="C24" t="s">
        <v>29</v>
      </c>
      <c r="D24" s="1">
        <v>50</v>
      </c>
      <c r="E24" t="s">
        <v>70</v>
      </c>
      <c r="F24" s="1">
        <v>180</v>
      </c>
      <c r="G24" s="1" t="s">
        <v>143</v>
      </c>
      <c r="H24" s="12">
        <v>29</v>
      </c>
      <c r="I24" s="12">
        <v>17</v>
      </c>
      <c r="J24" s="12">
        <v>5</v>
      </c>
      <c r="K24" s="12" t="s">
        <v>172</v>
      </c>
      <c r="N24" s="12">
        <v>5</v>
      </c>
      <c r="O24" s="12">
        <v>5</v>
      </c>
      <c r="P24" s="1">
        <v>4</v>
      </c>
      <c r="Q24" s="12">
        <v>3</v>
      </c>
      <c r="R24" s="3">
        <v>9740250</v>
      </c>
      <c r="S24" s="4">
        <v>28</v>
      </c>
      <c r="U24" s="5">
        <f t="shared" si="0"/>
        <v>24350.625</v>
      </c>
    </row>
    <row r="25" spans="1:21" x14ac:dyDescent="0.25">
      <c r="A25" t="s">
        <v>30</v>
      </c>
      <c r="B25" t="s">
        <v>31</v>
      </c>
      <c r="C25" t="s">
        <v>29</v>
      </c>
      <c r="D25" s="1">
        <v>55</v>
      </c>
      <c r="E25" t="s">
        <v>67</v>
      </c>
      <c r="F25" s="1">
        <v>150</v>
      </c>
      <c r="G25" s="1" t="s">
        <v>143</v>
      </c>
      <c r="H25" s="12">
        <v>29</v>
      </c>
      <c r="I25" s="12">
        <v>19</v>
      </c>
      <c r="J25" s="12">
        <v>4</v>
      </c>
      <c r="K25" s="12" t="s">
        <v>168</v>
      </c>
      <c r="N25" s="12">
        <v>4</v>
      </c>
      <c r="O25" s="12">
        <v>4</v>
      </c>
      <c r="P25" s="1">
        <v>4</v>
      </c>
      <c r="Q25" s="12">
        <v>5</v>
      </c>
      <c r="R25" s="3">
        <v>4864107</v>
      </c>
      <c r="S25" s="4">
        <v>31</v>
      </c>
      <c r="U25" s="5">
        <f t="shared" si="0"/>
        <v>12160.2675</v>
      </c>
    </row>
    <row r="26" spans="1:21" x14ac:dyDescent="0.25">
      <c r="A26" t="s">
        <v>75</v>
      </c>
      <c r="B26" t="s">
        <v>32</v>
      </c>
      <c r="C26" t="s">
        <v>29</v>
      </c>
      <c r="D26" s="1">
        <v>55</v>
      </c>
      <c r="E26" t="s">
        <v>70</v>
      </c>
      <c r="F26" s="1">
        <v>150</v>
      </c>
      <c r="G26" s="1" t="s">
        <v>143</v>
      </c>
      <c r="H26" s="12">
        <v>31</v>
      </c>
      <c r="I26" s="12">
        <v>19</v>
      </c>
      <c r="J26" s="12">
        <v>3</v>
      </c>
      <c r="K26" s="12" t="s">
        <v>168</v>
      </c>
      <c r="N26" s="12">
        <v>5</v>
      </c>
      <c r="O26" s="12">
        <v>4</v>
      </c>
      <c r="P26" s="1">
        <v>4</v>
      </c>
      <c r="Q26" s="12">
        <v>5</v>
      </c>
      <c r="R26" s="3">
        <v>4450257</v>
      </c>
      <c r="S26" s="4">
        <v>26</v>
      </c>
      <c r="U26" s="5">
        <f t="shared" si="0"/>
        <v>11125.6425</v>
      </c>
    </row>
    <row r="27" spans="1:21" x14ac:dyDescent="0.25">
      <c r="A27" t="s">
        <v>33</v>
      </c>
      <c r="B27" t="s">
        <v>34</v>
      </c>
      <c r="C27" t="s">
        <v>29</v>
      </c>
      <c r="D27" s="1">
        <v>55</v>
      </c>
      <c r="E27" t="s">
        <v>65</v>
      </c>
      <c r="F27" s="1">
        <v>150</v>
      </c>
      <c r="G27" s="1" t="s">
        <v>143</v>
      </c>
      <c r="H27" s="12">
        <v>30</v>
      </c>
      <c r="I27" s="12">
        <v>19</v>
      </c>
      <c r="J27" s="12">
        <v>5</v>
      </c>
      <c r="K27" s="12" t="s">
        <v>172</v>
      </c>
      <c r="N27" s="12">
        <v>5</v>
      </c>
      <c r="O27" s="12">
        <v>4</v>
      </c>
      <c r="P27" s="1">
        <v>4</v>
      </c>
      <c r="Q27" s="12">
        <v>6</v>
      </c>
      <c r="R27" s="6">
        <v>4778857</v>
      </c>
      <c r="S27" s="7">
        <v>30</v>
      </c>
      <c r="T27" s="8"/>
      <c r="U27" s="9">
        <f t="shared" si="0"/>
        <v>11947.1425</v>
      </c>
    </row>
    <row r="28" spans="1:21" s="22" customFormat="1" x14ac:dyDescent="0.25">
      <c r="D28" s="23"/>
      <c r="F28" s="23"/>
      <c r="G28" s="23"/>
      <c r="H28" s="23"/>
      <c r="I28" s="23"/>
      <c r="K28" s="23"/>
      <c r="N28" s="23"/>
      <c r="O28" s="23"/>
      <c r="P28" s="23"/>
      <c r="Q28" s="23"/>
      <c r="R28" s="24"/>
      <c r="S28" s="25"/>
      <c r="U28" s="26">
        <f>AVERAGE(R16:R27)</f>
        <v>5233790.5</v>
      </c>
    </row>
    <row r="29" spans="1:21" x14ac:dyDescent="0.25">
      <c r="A29" t="s">
        <v>98</v>
      </c>
      <c r="B29" t="s">
        <v>99</v>
      </c>
      <c r="C29" t="s">
        <v>96</v>
      </c>
      <c r="D29" s="1">
        <v>60</v>
      </c>
      <c r="E29" t="s">
        <v>71</v>
      </c>
      <c r="F29" s="1">
        <v>120</v>
      </c>
      <c r="G29" s="1" t="s">
        <v>143</v>
      </c>
      <c r="H29" s="12">
        <v>36</v>
      </c>
      <c r="I29" s="1">
        <v>21</v>
      </c>
      <c r="J29" s="12">
        <v>3</v>
      </c>
      <c r="K29" s="12" t="s">
        <v>155</v>
      </c>
      <c r="N29" s="12">
        <v>3</v>
      </c>
      <c r="O29" s="12">
        <v>3</v>
      </c>
      <c r="P29" s="1">
        <v>5</v>
      </c>
      <c r="Q29" s="12">
        <v>3</v>
      </c>
      <c r="R29" s="3">
        <v>5686010</v>
      </c>
      <c r="S29" s="4">
        <v>32</v>
      </c>
      <c r="U29" s="5">
        <f t="shared" si="0"/>
        <v>14215.025</v>
      </c>
    </row>
    <row r="30" spans="1:21" x14ac:dyDescent="0.25">
      <c r="A30" t="s">
        <v>78</v>
      </c>
      <c r="B30" t="s">
        <v>79</v>
      </c>
      <c r="C30" t="s">
        <v>96</v>
      </c>
      <c r="D30" s="1">
        <v>60</v>
      </c>
      <c r="E30" t="s">
        <v>64</v>
      </c>
      <c r="F30" s="1">
        <v>150</v>
      </c>
      <c r="G30" s="1" t="s">
        <v>144</v>
      </c>
      <c r="H30" s="12">
        <v>35</v>
      </c>
      <c r="I30" s="1">
        <v>21</v>
      </c>
      <c r="J30" s="12">
        <v>3</v>
      </c>
      <c r="K30" s="12" t="s">
        <v>168</v>
      </c>
      <c r="N30" s="12">
        <v>5</v>
      </c>
      <c r="O30" s="12">
        <v>2</v>
      </c>
      <c r="P30" s="1">
        <v>5</v>
      </c>
      <c r="Q30" s="12">
        <v>3</v>
      </c>
      <c r="R30" s="3">
        <v>4934080</v>
      </c>
      <c r="S30" s="4">
        <v>32</v>
      </c>
      <c r="U30" s="5">
        <f t="shared" si="0"/>
        <v>12335.2</v>
      </c>
    </row>
    <row r="31" spans="1:21" x14ac:dyDescent="0.25">
      <c r="A31" t="s">
        <v>80</v>
      </c>
      <c r="B31" t="s">
        <v>81</v>
      </c>
      <c r="C31" t="s">
        <v>96</v>
      </c>
      <c r="D31" s="1">
        <v>60</v>
      </c>
      <c r="E31" t="s">
        <v>66</v>
      </c>
      <c r="F31" s="1">
        <v>120</v>
      </c>
      <c r="G31" s="1" t="s">
        <v>144</v>
      </c>
      <c r="H31" s="12">
        <v>30</v>
      </c>
      <c r="I31" s="1">
        <v>21</v>
      </c>
      <c r="J31" s="12">
        <v>3</v>
      </c>
      <c r="K31" s="12" t="s">
        <v>193</v>
      </c>
      <c r="N31" s="12">
        <v>3</v>
      </c>
      <c r="O31" s="12">
        <v>5</v>
      </c>
      <c r="P31" s="1">
        <v>5</v>
      </c>
      <c r="Q31" s="12">
        <v>2</v>
      </c>
      <c r="R31" s="3">
        <v>4852800</v>
      </c>
      <c r="S31" s="4">
        <v>26</v>
      </c>
      <c r="U31" s="5">
        <f t="shared" si="0"/>
        <v>12132</v>
      </c>
    </row>
    <row r="32" spans="1:21" x14ac:dyDescent="0.25">
      <c r="A32" t="s">
        <v>239</v>
      </c>
      <c r="B32" t="s">
        <v>240</v>
      </c>
      <c r="C32" t="s">
        <v>96</v>
      </c>
      <c r="D32" s="1">
        <v>60</v>
      </c>
      <c r="E32" t="s">
        <v>65</v>
      </c>
      <c r="F32" s="1">
        <v>150</v>
      </c>
      <c r="G32" s="1" t="s">
        <v>143</v>
      </c>
      <c r="H32" s="12">
        <v>30</v>
      </c>
      <c r="I32" s="1">
        <v>21</v>
      </c>
      <c r="J32" s="12">
        <v>3</v>
      </c>
      <c r="K32" s="12" t="s">
        <v>172</v>
      </c>
      <c r="N32" s="12">
        <v>4</v>
      </c>
      <c r="O32" s="12">
        <v>4</v>
      </c>
      <c r="P32" s="1">
        <v>5</v>
      </c>
      <c r="Q32" s="12">
        <v>3</v>
      </c>
      <c r="R32" s="3">
        <v>5789760</v>
      </c>
      <c r="S32" s="4">
        <v>31</v>
      </c>
      <c r="U32" s="5">
        <f>R32*0.0025</f>
        <v>14474.4</v>
      </c>
    </row>
    <row r="33" spans="1:21" x14ac:dyDescent="0.25">
      <c r="A33" t="s">
        <v>126</v>
      </c>
      <c r="B33" t="s">
        <v>127</v>
      </c>
      <c r="C33" t="s">
        <v>96</v>
      </c>
      <c r="D33" s="1">
        <v>65</v>
      </c>
      <c r="E33" t="s">
        <v>65</v>
      </c>
      <c r="F33" s="1">
        <v>120</v>
      </c>
      <c r="G33" s="1" t="s">
        <v>143</v>
      </c>
      <c r="H33" s="12">
        <v>41</v>
      </c>
      <c r="I33" s="1">
        <v>23</v>
      </c>
      <c r="J33" s="12">
        <v>3</v>
      </c>
      <c r="K33" s="12" t="s">
        <v>163</v>
      </c>
      <c r="N33" s="12">
        <v>4</v>
      </c>
      <c r="O33" s="12">
        <v>2</v>
      </c>
      <c r="P33" s="1">
        <v>5</v>
      </c>
      <c r="Q33" s="12">
        <v>4</v>
      </c>
      <c r="R33" s="3">
        <v>11840510</v>
      </c>
      <c r="S33" s="4">
        <v>33</v>
      </c>
      <c r="U33" s="5">
        <f t="shared" si="0"/>
        <v>29601.275000000001</v>
      </c>
    </row>
    <row r="34" spans="1:21" x14ac:dyDescent="0.25">
      <c r="A34" t="s">
        <v>82</v>
      </c>
      <c r="B34" t="s">
        <v>83</v>
      </c>
      <c r="C34" t="s">
        <v>96</v>
      </c>
      <c r="D34" s="1">
        <v>65</v>
      </c>
      <c r="E34" t="s">
        <v>64</v>
      </c>
      <c r="F34" s="1">
        <v>120</v>
      </c>
      <c r="G34" s="1" t="s">
        <v>144</v>
      </c>
      <c r="H34" s="12">
        <v>44</v>
      </c>
      <c r="I34" s="1">
        <v>23</v>
      </c>
      <c r="J34" s="12">
        <v>4</v>
      </c>
      <c r="K34" s="12" t="s">
        <v>172</v>
      </c>
      <c r="N34" s="12">
        <v>3</v>
      </c>
      <c r="O34" s="12">
        <v>3</v>
      </c>
      <c r="P34" s="1">
        <v>5</v>
      </c>
      <c r="Q34" s="12">
        <v>6</v>
      </c>
      <c r="R34" s="3">
        <v>5268560</v>
      </c>
      <c r="S34" s="4">
        <v>36</v>
      </c>
      <c r="U34" s="5">
        <f t="shared" si="0"/>
        <v>13171.4</v>
      </c>
    </row>
    <row r="35" spans="1:21" x14ac:dyDescent="0.25">
      <c r="A35" t="s">
        <v>84</v>
      </c>
      <c r="B35" t="s">
        <v>85</v>
      </c>
      <c r="C35" t="s">
        <v>96</v>
      </c>
      <c r="D35" s="1">
        <v>65</v>
      </c>
      <c r="E35" t="s">
        <v>66</v>
      </c>
      <c r="F35" s="1">
        <v>120</v>
      </c>
      <c r="G35" s="1" t="s">
        <v>143</v>
      </c>
      <c r="H35" s="12">
        <v>36</v>
      </c>
      <c r="I35" s="1">
        <v>23</v>
      </c>
      <c r="J35" s="12">
        <v>4</v>
      </c>
      <c r="K35" s="12" t="s">
        <v>168</v>
      </c>
      <c r="N35" s="12">
        <v>3</v>
      </c>
      <c r="O35" s="12">
        <v>4</v>
      </c>
      <c r="P35" s="1">
        <v>5</v>
      </c>
      <c r="Q35" s="12">
        <v>5</v>
      </c>
      <c r="R35" s="3">
        <v>5691125</v>
      </c>
      <c r="S35" s="4">
        <v>32</v>
      </c>
      <c r="U35" s="5">
        <f t="shared" si="0"/>
        <v>14227.8125</v>
      </c>
    </row>
    <row r="36" spans="1:21" x14ac:dyDescent="0.25">
      <c r="A36" t="s">
        <v>86</v>
      </c>
      <c r="B36" t="s">
        <v>87</v>
      </c>
      <c r="C36" t="s">
        <v>96</v>
      </c>
      <c r="D36" s="1">
        <v>70</v>
      </c>
      <c r="E36" t="s">
        <v>71</v>
      </c>
      <c r="F36" s="1">
        <v>120</v>
      </c>
      <c r="G36" s="1" t="s">
        <v>144</v>
      </c>
      <c r="H36" s="12">
        <v>41</v>
      </c>
      <c r="I36" s="1">
        <v>24</v>
      </c>
      <c r="J36" s="12">
        <v>4</v>
      </c>
      <c r="K36" s="12" t="s">
        <v>168</v>
      </c>
      <c r="N36" s="12">
        <v>3</v>
      </c>
      <c r="O36" s="12">
        <v>4</v>
      </c>
      <c r="P36" s="1">
        <v>5</v>
      </c>
      <c r="Q36" s="12">
        <v>5</v>
      </c>
      <c r="R36" s="3">
        <v>6180973</v>
      </c>
      <c r="S36" s="4">
        <v>39</v>
      </c>
      <c r="U36" s="5">
        <f t="shared" si="0"/>
        <v>15452.432500000001</v>
      </c>
    </row>
    <row r="37" spans="1:21" x14ac:dyDescent="0.25">
      <c r="A37" t="s">
        <v>102</v>
      </c>
      <c r="B37" t="s">
        <v>101</v>
      </c>
      <c r="C37" t="s">
        <v>96</v>
      </c>
      <c r="D37" s="1">
        <v>70</v>
      </c>
      <c r="E37" t="s">
        <v>70</v>
      </c>
      <c r="F37" s="1">
        <v>120</v>
      </c>
      <c r="G37" s="1" t="s">
        <v>143</v>
      </c>
      <c r="H37" s="12">
        <v>42</v>
      </c>
      <c r="I37" s="1">
        <v>24</v>
      </c>
      <c r="J37" s="12">
        <v>5</v>
      </c>
      <c r="K37" s="12" t="s">
        <v>174</v>
      </c>
      <c r="N37" s="12">
        <v>5</v>
      </c>
      <c r="O37" s="12">
        <v>4</v>
      </c>
      <c r="P37" s="1">
        <v>5</v>
      </c>
      <c r="Q37" s="12">
        <v>6</v>
      </c>
      <c r="R37" s="3">
        <v>6024573</v>
      </c>
      <c r="S37" s="4">
        <v>37</v>
      </c>
      <c r="U37" s="5">
        <f t="shared" si="0"/>
        <v>15061.432500000001</v>
      </c>
    </row>
    <row r="38" spans="1:21" x14ac:dyDescent="0.25">
      <c r="A38" t="s">
        <v>88</v>
      </c>
      <c r="B38" t="s">
        <v>89</v>
      </c>
      <c r="C38" t="s">
        <v>96</v>
      </c>
      <c r="D38" s="1">
        <v>70</v>
      </c>
      <c r="E38" t="s">
        <v>71</v>
      </c>
      <c r="F38" s="1">
        <v>120</v>
      </c>
      <c r="G38" s="1" t="s">
        <v>144</v>
      </c>
      <c r="H38" s="12">
        <v>44</v>
      </c>
      <c r="I38" s="1">
        <v>24</v>
      </c>
      <c r="J38" s="12">
        <v>5</v>
      </c>
      <c r="K38" s="12" t="s">
        <v>179</v>
      </c>
      <c r="N38" s="12">
        <v>3</v>
      </c>
      <c r="O38" s="12">
        <v>5</v>
      </c>
      <c r="P38" s="1">
        <v>5</v>
      </c>
      <c r="Q38" s="12">
        <v>3</v>
      </c>
      <c r="R38" s="3">
        <v>6070983</v>
      </c>
      <c r="S38" s="4">
        <v>32</v>
      </c>
      <c r="U38" s="5">
        <f t="shared" si="0"/>
        <v>15177.4575</v>
      </c>
    </row>
    <row r="39" spans="1:21" x14ac:dyDescent="0.25">
      <c r="A39" t="s">
        <v>103</v>
      </c>
      <c r="B39" t="s">
        <v>100</v>
      </c>
      <c r="C39" t="s">
        <v>96</v>
      </c>
      <c r="D39" s="1">
        <v>75</v>
      </c>
      <c r="E39" t="s">
        <v>68</v>
      </c>
      <c r="F39" s="1">
        <v>120</v>
      </c>
      <c r="G39" s="1" t="s">
        <v>144</v>
      </c>
      <c r="H39" s="12">
        <v>49</v>
      </c>
      <c r="I39" s="1">
        <v>25</v>
      </c>
      <c r="J39" s="12">
        <v>5</v>
      </c>
      <c r="K39" s="12" t="s">
        <v>174</v>
      </c>
      <c r="N39" s="12">
        <v>3</v>
      </c>
      <c r="O39" s="12">
        <v>5</v>
      </c>
      <c r="P39" s="1">
        <v>5</v>
      </c>
      <c r="Q39" s="12">
        <v>6</v>
      </c>
      <c r="R39" s="3">
        <v>7136938</v>
      </c>
      <c r="S39" s="4">
        <v>39</v>
      </c>
      <c r="U39" s="5">
        <f t="shared" si="0"/>
        <v>17842.345000000001</v>
      </c>
    </row>
    <row r="40" spans="1:21" x14ac:dyDescent="0.25">
      <c r="A40" t="s">
        <v>90</v>
      </c>
      <c r="B40" t="s">
        <v>91</v>
      </c>
      <c r="C40" t="s">
        <v>96</v>
      </c>
      <c r="D40" s="1">
        <v>75</v>
      </c>
      <c r="E40" t="s">
        <v>70</v>
      </c>
      <c r="F40" s="1">
        <v>120</v>
      </c>
      <c r="G40" s="1" t="s">
        <v>144</v>
      </c>
      <c r="H40" s="12">
        <v>41</v>
      </c>
      <c r="I40" s="1">
        <v>25</v>
      </c>
      <c r="J40" s="12">
        <v>4</v>
      </c>
      <c r="K40" s="12" t="s">
        <v>172</v>
      </c>
      <c r="N40" s="12">
        <v>4</v>
      </c>
      <c r="O40" s="12">
        <v>5</v>
      </c>
      <c r="P40" s="1">
        <v>5</v>
      </c>
      <c r="Q40" s="12">
        <v>5</v>
      </c>
      <c r="R40" s="3">
        <v>6023383</v>
      </c>
      <c r="S40" s="4">
        <v>32</v>
      </c>
      <c r="U40" s="5">
        <f t="shared" si="0"/>
        <v>15058.4575</v>
      </c>
    </row>
    <row r="41" spans="1:21" x14ac:dyDescent="0.25">
      <c r="A41" t="s">
        <v>104</v>
      </c>
      <c r="B41" t="s">
        <v>105</v>
      </c>
      <c r="C41" t="s">
        <v>96</v>
      </c>
      <c r="D41" s="1">
        <v>75</v>
      </c>
      <c r="E41" t="s">
        <v>71</v>
      </c>
      <c r="F41" s="1">
        <v>120</v>
      </c>
      <c r="G41" s="1" t="s">
        <v>144</v>
      </c>
      <c r="H41" s="12">
        <v>42</v>
      </c>
      <c r="I41" s="1">
        <v>25</v>
      </c>
      <c r="J41" s="12">
        <v>4</v>
      </c>
      <c r="K41" s="12" t="s">
        <v>168</v>
      </c>
      <c r="N41" s="12">
        <v>3</v>
      </c>
      <c r="O41" s="12">
        <v>3</v>
      </c>
      <c r="P41" s="1">
        <v>5</v>
      </c>
      <c r="Q41" s="12">
        <v>5</v>
      </c>
      <c r="R41" s="6">
        <v>6627250</v>
      </c>
      <c r="S41" s="7">
        <v>35</v>
      </c>
      <c r="T41" s="8"/>
      <c r="U41" s="9">
        <f t="shared" si="0"/>
        <v>16568.125</v>
      </c>
    </row>
    <row r="42" spans="1:21" s="22" customFormat="1" x14ac:dyDescent="0.25">
      <c r="D42" s="23"/>
      <c r="F42" s="23"/>
      <c r="G42" s="23"/>
      <c r="H42" s="23"/>
      <c r="I42" s="23"/>
      <c r="K42" s="23"/>
      <c r="N42" s="23"/>
      <c r="O42" s="23"/>
      <c r="P42" s="23"/>
      <c r="Q42" s="23"/>
      <c r="R42" s="24"/>
      <c r="S42" s="25"/>
      <c r="U42" s="26">
        <f>AVERAGE(R29:R41)</f>
        <v>6317457.307692308</v>
      </c>
    </row>
    <row r="43" spans="1:21" x14ac:dyDescent="0.25">
      <c r="A43" t="s">
        <v>92</v>
      </c>
      <c r="B43" t="s">
        <v>93</v>
      </c>
      <c r="C43" t="s">
        <v>97</v>
      </c>
      <c r="D43" s="1">
        <v>80</v>
      </c>
      <c r="E43" t="s">
        <v>71</v>
      </c>
      <c r="F43" s="1">
        <v>90</v>
      </c>
      <c r="G43" s="1" t="s">
        <v>144</v>
      </c>
      <c r="H43" s="12">
        <v>51</v>
      </c>
      <c r="I43" s="1">
        <v>27</v>
      </c>
      <c r="J43" s="12">
        <v>5</v>
      </c>
      <c r="K43" s="12" t="s">
        <v>185</v>
      </c>
      <c r="N43" s="12">
        <v>2</v>
      </c>
      <c r="O43" s="12">
        <v>4</v>
      </c>
      <c r="P43" s="1">
        <v>6</v>
      </c>
      <c r="Q43" s="12">
        <v>6</v>
      </c>
      <c r="R43" s="3">
        <v>6598170</v>
      </c>
      <c r="S43" s="4">
        <v>39</v>
      </c>
      <c r="U43" s="5">
        <f t="shared" si="0"/>
        <v>16495.424999999999</v>
      </c>
    </row>
    <row r="44" spans="1:21" x14ac:dyDescent="0.25">
      <c r="A44" t="s">
        <v>108</v>
      </c>
      <c r="B44" t="s">
        <v>109</v>
      </c>
      <c r="C44" t="s">
        <v>97</v>
      </c>
      <c r="D44" s="1">
        <v>80</v>
      </c>
      <c r="E44" t="s">
        <v>67</v>
      </c>
      <c r="F44" s="1">
        <v>120</v>
      </c>
      <c r="G44" s="1" t="s">
        <v>143</v>
      </c>
      <c r="H44" s="12">
        <v>42</v>
      </c>
      <c r="I44" s="1">
        <v>27</v>
      </c>
      <c r="J44" s="12">
        <v>4</v>
      </c>
      <c r="K44" s="12" t="s">
        <v>168</v>
      </c>
      <c r="N44" s="12">
        <v>3</v>
      </c>
      <c r="O44" s="12">
        <v>3</v>
      </c>
      <c r="P44" s="1">
        <v>6</v>
      </c>
      <c r="Q44" s="12">
        <v>5</v>
      </c>
      <c r="R44" s="3">
        <v>7651200</v>
      </c>
      <c r="S44" s="4">
        <v>39</v>
      </c>
      <c r="U44" s="5">
        <f t="shared" si="0"/>
        <v>19128</v>
      </c>
    </row>
    <row r="45" spans="1:21" x14ac:dyDescent="0.25">
      <c r="A45" t="s">
        <v>120</v>
      </c>
      <c r="B45" t="s">
        <v>121</v>
      </c>
      <c r="C45" t="s">
        <v>97</v>
      </c>
      <c r="D45" s="1">
        <v>80</v>
      </c>
      <c r="E45" t="s">
        <v>65</v>
      </c>
      <c r="F45" s="1">
        <v>120</v>
      </c>
      <c r="G45" s="1" t="s">
        <v>143</v>
      </c>
      <c r="H45" s="12">
        <v>36</v>
      </c>
      <c r="I45" s="1">
        <v>27</v>
      </c>
      <c r="J45" s="12">
        <v>4</v>
      </c>
      <c r="K45" s="12" t="s">
        <v>168</v>
      </c>
      <c r="N45" s="12">
        <v>5</v>
      </c>
      <c r="O45" s="12">
        <v>3</v>
      </c>
      <c r="P45" s="1">
        <v>6</v>
      </c>
      <c r="Q45" s="12">
        <v>4</v>
      </c>
      <c r="R45" s="3">
        <v>8512320</v>
      </c>
      <c r="S45" s="4">
        <v>40</v>
      </c>
      <c r="U45" s="5">
        <f t="shared" si="0"/>
        <v>21280.799999999999</v>
      </c>
    </row>
    <row r="46" spans="1:21" x14ac:dyDescent="0.25">
      <c r="A46" t="s">
        <v>94</v>
      </c>
      <c r="B46" t="s">
        <v>95</v>
      </c>
      <c r="C46" t="s">
        <v>97</v>
      </c>
      <c r="D46" s="1">
        <v>85</v>
      </c>
      <c r="E46" t="s">
        <v>71</v>
      </c>
      <c r="F46" s="1">
        <v>120</v>
      </c>
      <c r="G46" s="1" t="s">
        <v>144</v>
      </c>
      <c r="H46" s="12">
        <v>47</v>
      </c>
      <c r="I46" s="1">
        <v>29</v>
      </c>
      <c r="J46" s="12">
        <v>4</v>
      </c>
      <c r="K46" s="12" t="s">
        <v>179</v>
      </c>
      <c r="N46" s="12">
        <v>4</v>
      </c>
      <c r="O46" s="12">
        <v>4</v>
      </c>
      <c r="P46" s="1">
        <v>6</v>
      </c>
      <c r="Q46" s="12">
        <v>5</v>
      </c>
      <c r="R46" s="3">
        <v>8501243</v>
      </c>
      <c r="S46" s="4">
        <v>40</v>
      </c>
      <c r="U46" s="5">
        <f t="shared" si="0"/>
        <v>21253.107500000002</v>
      </c>
    </row>
    <row r="47" spans="1:21" x14ac:dyDescent="0.25">
      <c r="A47" t="s">
        <v>106</v>
      </c>
      <c r="B47" t="s">
        <v>107</v>
      </c>
      <c r="C47" t="s">
        <v>97</v>
      </c>
      <c r="D47" s="1">
        <v>85</v>
      </c>
      <c r="E47" t="s">
        <v>72</v>
      </c>
      <c r="F47" s="1">
        <v>90</v>
      </c>
      <c r="G47" s="1" t="s">
        <v>144</v>
      </c>
      <c r="H47" s="12">
        <v>54</v>
      </c>
      <c r="I47" s="1">
        <v>29</v>
      </c>
      <c r="J47" s="12">
        <v>4</v>
      </c>
      <c r="K47" s="12" t="s">
        <v>168</v>
      </c>
      <c r="N47" s="12">
        <v>2</v>
      </c>
      <c r="O47" s="12">
        <v>3</v>
      </c>
      <c r="P47" s="1">
        <v>6</v>
      </c>
      <c r="Q47" s="12">
        <v>6</v>
      </c>
      <c r="R47" s="3">
        <v>7463825</v>
      </c>
      <c r="S47" s="4">
        <v>42</v>
      </c>
      <c r="U47" s="5">
        <f t="shared" si="0"/>
        <v>18659.5625</v>
      </c>
    </row>
    <row r="48" spans="1:21" x14ac:dyDescent="0.25">
      <c r="A48" t="s">
        <v>110</v>
      </c>
      <c r="B48" t="s">
        <v>111</v>
      </c>
      <c r="C48" t="s">
        <v>97</v>
      </c>
      <c r="D48" s="1">
        <v>90</v>
      </c>
      <c r="E48" t="s">
        <v>67</v>
      </c>
      <c r="F48" s="1">
        <v>90</v>
      </c>
      <c r="G48" s="1" t="s">
        <v>143</v>
      </c>
      <c r="H48" s="12">
        <v>50</v>
      </c>
      <c r="I48" s="1">
        <v>31</v>
      </c>
      <c r="J48" s="12">
        <v>5</v>
      </c>
      <c r="K48" s="12" t="s">
        <v>174</v>
      </c>
      <c r="N48" s="12">
        <v>4</v>
      </c>
      <c r="O48" s="12">
        <v>4</v>
      </c>
      <c r="P48" s="1">
        <v>6</v>
      </c>
      <c r="Q48" s="12">
        <v>6</v>
      </c>
      <c r="R48" s="3">
        <v>8936080</v>
      </c>
      <c r="S48" s="4">
        <v>47</v>
      </c>
      <c r="U48" s="5">
        <f t="shared" si="0"/>
        <v>22340.2</v>
      </c>
    </row>
    <row r="49" spans="1:21" x14ac:dyDescent="0.25">
      <c r="A49" t="s">
        <v>122</v>
      </c>
      <c r="B49" t="s">
        <v>123</v>
      </c>
      <c r="C49" t="s">
        <v>97</v>
      </c>
      <c r="D49" s="1">
        <v>90</v>
      </c>
      <c r="E49" t="s">
        <v>67</v>
      </c>
      <c r="F49" s="1">
        <v>90</v>
      </c>
      <c r="G49" s="1" t="s">
        <v>144</v>
      </c>
      <c r="H49" s="12">
        <v>45</v>
      </c>
      <c r="I49" s="1">
        <v>31</v>
      </c>
      <c r="J49" s="12">
        <v>3</v>
      </c>
      <c r="K49" s="12" t="s">
        <v>193</v>
      </c>
      <c r="N49" s="12">
        <v>2</v>
      </c>
      <c r="O49" s="12">
        <v>5</v>
      </c>
      <c r="P49" s="1">
        <v>6</v>
      </c>
      <c r="Q49" s="12">
        <v>3</v>
      </c>
      <c r="R49" s="3">
        <v>18399600</v>
      </c>
      <c r="S49" s="4">
        <v>37</v>
      </c>
      <c r="U49" s="5">
        <f t="shared" si="0"/>
        <v>45999</v>
      </c>
    </row>
    <row r="50" spans="1:21" x14ac:dyDescent="0.25">
      <c r="A50" t="s">
        <v>112</v>
      </c>
      <c r="B50" t="s">
        <v>113</v>
      </c>
      <c r="C50" t="s">
        <v>97</v>
      </c>
      <c r="D50" s="1">
        <v>95</v>
      </c>
      <c r="E50" t="s">
        <v>64</v>
      </c>
      <c r="F50" s="1">
        <v>120</v>
      </c>
      <c r="G50" s="1" t="s">
        <v>144</v>
      </c>
      <c r="H50" s="12">
        <v>40</v>
      </c>
      <c r="I50" s="1">
        <v>33</v>
      </c>
      <c r="J50" s="12">
        <v>3</v>
      </c>
      <c r="K50" s="12" t="s">
        <v>172</v>
      </c>
      <c r="N50" s="12">
        <v>4</v>
      </c>
      <c r="O50" s="12">
        <v>2</v>
      </c>
      <c r="P50" s="1">
        <v>6</v>
      </c>
      <c r="Q50" s="12">
        <v>4</v>
      </c>
      <c r="R50" s="3">
        <v>9824327</v>
      </c>
      <c r="S50" s="4">
        <v>39</v>
      </c>
      <c r="U50" s="5">
        <f t="shared" si="0"/>
        <v>24560.817500000001</v>
      </c>
    </row>
    <row r="51" spans="1:21" x14ac:dyDescent="0.25">
      <c r="A51" t="s">
        <v>114</v>
      </c>
      <c r="B51" t="s">
        <v>115</v>
      </c>
      <c r="C51" t="s">
        <v>97</v>
      </c>
      <c r="D51" s="1">
        <v>100</v>
      </c>
      <c r="E51" t="s">
        <v>72</v>
      </c>
      <c r="F51" s="1">
        <v>60</v>
      </c>
      <c r="G51" s="1" t="s">
        <v>144</v>
      </c>
      <c r="H51" s="12">
        <v>55</v>
      </c>
      <c r="I51" s="1">
        <v>34</v>
      </c>
      <c r="J51" s="12">
        <v>3</v>
      </c>
      <c r="K51" s="12" t="s">
        <v>168</v>
      </c>
      <c r="N51" s="12">
        <v>1</v>
      </c>
      <c r="O51" s="12">
        <v>4</v>
      </c>
      <c r="P51" s="1">
        <v>7</v>
      </c>
      <c r="Q51" s="12">
        <v>6</v>
      </c>
      <c r="R51" s="3">
        <v>7696667</v>
      </c>
      <c r="S51" s="4">
        <v>31</v>
      </c>
      <c r="U51" s="5">
        <f t="shared" si="0"/>
        <v>19241.6675</v>
      </c>
    </row>
    <row r="52" spans="1:21" x14ac:dyDescent="0.25">
      <c r="A52" t="s">
        <v>116</v>
      </c>
      <c r="B52" t="s">
        <v>117</v>
      </c>
      <c r="C52" t="s">
        <v>97</v>
      </c>
      <c r="D52" s="1">
        <v>100</v>
      </c>
      <c r="E52" t="s">
        <v>72</v>
      </c>
      <c r="F52" s="1">
        <v>90</v>
      </c>
      <c r="G52" s="1" t="s">
        <v>144</v>
      </c>
      <c r="H52" s="12">
        <v>64</v>
      </c>
      <c r="I52" s="1">
        <v>34</v>
      </c>
      <c r="J52" s="12">
        <v>4</v>
      </c>
      <c r="K52" s="12" t="s">
        <v>179</v>
      </c>
      <c r="N52" s="12">
        <v>3</v>
      </c>
      <c r="O52" s="12">
        <v>4</v>
      </c>
      <c r="P52" s="1">
        <v>7</v>
      </c>
      <c r="Q52" s="12">
        <v>6</v>
      </c>
      <c r="R52" s="3">
        <v>9626000</v>
      </c>
      <c r="S52" s="4">
        <v>52</v>
      </c>
      <c r="U52" s="5">
        <f t="shared" si="0"/>
        <v>24065</v>
      </c>
    </row>
    <row r="53" spans="1:21" x14ac:dyDescent="0.25">
      <c r="A53" t="s">
        <v>124</v>
      </c>
      <c r="B53" t="s">
        <v>118</v>
      </c>
      <c r="C53" t="s">
        <v>97</v>
      </c>
      <c r="D53" s="1">
        <v>100</v>
      </c>
      <c r="E53" t="s">
        <v>72</v>
      </c>
      <c r="F53" s="1">
        <v>90</v>
      </c>
      <c r="G53" s="1" t="s">
        <v>144</v>
      </c>
      <c r="H53" s="1">
        <v>63</v>
      </c>
      <c r="I53" s="1">
        <v>34</v>
      </c>
      <c r="J53" s="12">
        <v>4</v>
      </c>
      <c r="K53" s="12" t="s">
        <v>174</v>
      </c>
      <c r="N53" s="12">
        <v>1</v>
      </c>
      <c r="O53" s="12">
        <v>5</v>
      </c>
      <c r="P53" s="1">
        <v>7</v>
      </c>
      <c r="Q53" s="12">
        <v>5</v>
      </c>
      <c r="R53" s="3">
        <v>22398000</v>
      </c>
      <c r="S53" s="4">
        <v>54</v>
      </c>
      <c r="U53" s="5">
        <f t="shared" si="0"/>
        <v>55995</v>
      </c>
    </row>
    <row r="54" spans="1:21" x14ac:dyDescent="0.25">
      <c r="A54" t="s">
        <v>125</v>
      </c>
      <c r="B54" t="s">
        <v>119</v>
      </c>
      <c r="C54" t="s">
        <v>97</v>
      </c>
      <c r="D54" s="1">
        <v>100</v>
      </c>
      <c r="E54" t="s">
        <v>64</v>
      </c>
      <c r="F54" s="1">
        <v>90</v>
      </c>
      <c r="G54" s="1" t="s">
        <v>144</v>
      </c>
      <c r="H54" s="1">
        <v>66</v>
      </c>
      <c r="I54" s="1">
        <v>34</v>
      </c>
      <c r="J54" s="12">
        <v>4</v>
      </c>
      <c r="K54" s="12" t="s">
        <v>163</v>
      </c>
      <c r="N54" s="12">
        <v>2</v>
      </c>
      <c r="O54" s="12">
        <v>4</v>
      </c>
      <c r="P54" s="1">
        <v>7</v>
      </c>
      <c r="Q54" s="12">
        <v>6</v>
      </c>
      <c r="R54" s="6">
        <v>10122000</v>
      </c>
      <c r="S54" s="7">
        <v>46</v>
      </c>
      <c r="T54" s="8"/>
      <c r="U54" s="9">
        <f t="shared" si="0"/>
        <v>25305</v>
      </c>
    </row>
    <row r="55" spans="1:21" x14ac:dyDescent="0.25">
      <c r="U55" s="10"/>
    </row>
    <row r="61" spans="1:21" x14ac:dyDescent="0.25">
      <c r="J61" s="13"/>
    </row>
    <row r="62" spans="1:21" x14ac:dyDescent="0.25">
      <c r="J62" s="1"/>
      <c r="K62" s="1"/>
    </row>
    <row r="63" spans="1:21" x14ac:dyDescent="0.25">
      <c r="K63" s="16"/>
    </row>
    <row r="64" spans="1:21" x14ac:dyDescent="0.25">
      <c r="K64" s="16"/>
    </row>
    <row r="65" spans="3:11" x14ac:dyDescent="0.25">
      <c r="K65" s="16"/>
    </row>
    <row r="66" spans="3:11" x14ac:dyDescent="0.25">
      <c r="C66" s="13"/>
      <c r="D66" s="13"/>
      <c r="E66" s="13"/>
      <c r="K66" s="16"/>
    </row>
    <row r="67" spans="3:11" x14ac:dyDescent="0.25">
      <c r="C67" s="16"/>
      <c r="D67" s="16"/>
      <c r="E67" s="16"/>
      <c r="K67" s="16"/>
    </row>
    <row r="68" spans="3:11" x14ac:dyDescent="0.25">
      <c r="C68" s="16"/>
      <c r="D68" s="16"/>
      <c r="E68" s="16"/>
      <c r="K68" s="16"/>
    </row>
    <row r="69" spans="3:11" x14ac:dyDescent="0.25">
      <c r="C69" s="16"/>
      <c r="D69" s="16"/>
      <c r="E69" s="16"/>
      <c r="K69" s="16"/>
    </row>
    <row r="70" spans="3:11" x14ac:dyDescent="0.25">
      <c r="C70" s="16"/>
      <c r="D70" s="16"/>
      <c r="E70" s="16"/>
      <c r="K70" s="16"/>
    </row>
    <row r="71" spans="3:11" x14ac:dyDescent="0.25">
      <c r="C71" s="16"/>
      <c r="D71" s="16"/>
      <c r="E71" s="16"/>
      <c r="K71" s="16"/>
    </row>
    <row r="72" spans="3:11" x14ac:dyDescent="0.25">
      <c r="C72" s="16"/>
      <c r="D72" s="16"/>
      <c r="E72" s="16"/>
      <c r="K72" s="16"/>
    </row>
    <row r="73" spans="3:11" x14ac:dyDescent="0.25">
      <c r="C73" s="16"/>
      <c r="D73" s="16"/>
      <c r="E73" s="16"/>
      <c r="K73" s="16"/>
    </row>
    <row r="74" spans="3:11" x14ac:dyDescent="0.25">
      <c r="C74" s="16"/>
      <c r="D74" s="16"/>
      <c r="E74" s="16"/>
      <c r="K74" s="16"/>
    </row>
    <row r="75" spans="3:11" x14ac:dyDescent="0.25">
      <c r="C75" s="16"/>
      <c r="D75" s="16"/>
      <c r="E75" s="16"/>
    </row>
    <row r="76" spans="3:11" x14ac:dyDescent="0.25">
      <c r="C76" s="16"/>
      <c r="D76" s="16"/>
      <c r="E76" s="16"/>
      <c r="K76" s="16"/>
    </row>
    <row r="77" spans="3:11" x14ac:dyDescent="0.25">
      <c r="C77" s="16"/>
      <c r="D77" s="16"/>
      <c r="E77" s="16"/>
      <c r="K77" s="16"/>
    </row>
    <row r="78" spans="3:11" x14ac:dyDescent="0.25">
      <c r="C78" s="16"/>
      <c r="D78" s="16"/>
      <c r="E78" s="16"/>
      <c r="K78" s="16"/>
    </row>
    <row r="79" spans="3:11" x14ac:dyDescent="0.25">
      <c r="K79" s="16"/>
    </row>
    <row r="80" spans="3:11" x14ac:dyDescent="0.25">
      <c r="K80" s="16"/>
    </row>
    <row r="81" spans="11:11" x14ac:dyDescent="0.25">
      <c r="K81" s="16"/>
    </row>
    <row r="82" spans="11:11" x14ac:dyDescent="0.25">
      <c r="K82" s="16"/>
    </row>
    <row r="83" spans="11:11" x14ac:dyDescent="0.25">
      <c r="K83" s="16"/>
    </row>
    <row r="84" spans="11:11" x14ac:dyDescent="0.25">
      <c r="K84" s="16"/>
    </row>
    <row r="85" spans="11:11" x14ac:dyDescent="0.25">
      <c r="K85" s="16"/>
    </row>
    <row r="86" spans="11:11" x14ac:dyDescent="0.25">
      <c r="K86" s="16"/>
    </row>
    <row r="87" spans="11:11" x14ac:dyDescent="0.25">
      <c r="K87" s="16"/>
    </row>
    <row r="89" spans="11:11" x14ac:dyDescent="0.25">
      <c r="K89" s="16"/>
    </row>
    <row r="90" spans="11:11" x14ac:dyDescent="0.25">
      <c r="K90" s="16"/>
    </row>
    <row r="91" spans="11:11" x14ac:dyDescent="0.25">
      <c r="K91" s="16"/>
    </row>
    <row r="92" spans="11:11" x14ac:dyDescent="0.25">
      <c r="K92" s="16"/>
    </row>
    <row r="93" spans="11:11" x14ac:dyDescent="0.25">
      <c r="K93" s="16"/>
    </row>
    <row r="94" spans="11:11" x14ac:dyDescent="0.25">
      <c r="K94" s="16"/>
    </row>
    <row r="95" spans="11:11" x14ac:dyDescent="0.25">
      <c r="K95" s="16"/>
    </row>
    <row r="96" spans="11:11" x14ac:dyDescent="0.25">
      <c r="K96" s="16"/>
    </row>
    <row r="97" spans="11:11" x14ac:dyDescent="0.25">
      <c r="K97" s="16"/>
    </row>
    <row r="98" spans="11:11" x14ac:dyDescent="0.25">
      <c r="K98" s="16"/>
    </row>
    <row r="99" spans="11:11" x14ac:dyDescent="0.25">
      <c r="K99" s="16"/>
    </row>
    <row r="100" spans="11:11" x14ac:dyDescent="0.25">
      <c r="K100" s="16"/>
    </row>
    <row r="102" spans="11:11" x14ac:dyDescent="0.25">
      <c r="K102" s="16"/>
    </row>
    <row r="103" spans="11:11" x14ac:dyDescent="0.25">
      <c r="K103" s="16"/>
    </row>
    <row r="104" spans="11:11" x14ac:dyDescent="0.25">
      <c r="K104" s="16"/>
    </row>
    <row r="105" spans="11:11" x14ac:dyDescent="0.25">
      <c r="K105" s="16"/>
    </row>
    <row r="106" spans="11:11" x14ac:dyDescent="0.25">
      <c r="K106" s="16"/>
    </row>
    <row r="107" spans="11:11" x14ac:dyDescent="0.25">
      <c r="K107" s="16"/>
    </row>
    <row r="108" spans="11:11" x14ac:dyDescent="0.25">
      <c r="K108" s="16"/>
    </row>
    <row r="109" spans="11:11" x14ac:dyDescent="0.25">
      <c r="K109" s="16"/>
    </row>
    <row r="110" spans="11:11" x14ac:dyDescent="0.25">
      <c r="K110" s="16"/>
    </row>
    <row r="111" spans="11:11" x14ac:dyDescent="0.25">
      <c r="K111" s="16"/>
    </row>
    <row r="112" spans="11:11" x14ac:dyDescent="0.25">
      <c r="K112" s="16"/>
    </row>
    <row r="113" spans="11:11" x14ac:dyDescent="0.25">
      <c r="K113" s="16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A591463-8248-4383-AB2D-AE219119A501}">
          <x14:formula1>
            <xm:f>'Misc Tables'!$A$2:$A$11</xm:f>
          </x14:formula1>
          <xm:sqref>E2:E54</xm:sqref>
        </x14:dataValidation>
        <x14:dataValidation type="list" allowBlank="1" showInputMessage="1" showErrorMessage="1" xr:uid="{672CEF80-F760-4E70-B62D-378206010836}">
          <x14:formula1>
            <xm:f>'Misc Tables'!$E$2:$E$13</xm:f>
          </x14:formula1>
          <xm:sqref>K2:K54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14B8F-CA9A-402E-B293-C8FF103E111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B5038-2C90-49A5-9352-EB0CF599BD6B}">
  <dimension ref="A1:M52"/>
  <sheetViews>
    <sheetView workbookViewId="0">
      <selection activeCell="B22" sqref="B22"/>
    </sheetView>
  </sheetViews>
  <sheetFormatPr defaultRowHeight="15" x14ac:dyDescent="0.25"/>
  <cols>
    <col min="1" max="1" width="12" customWidth="1"/>
    <col min="2" max="2" width="11.85546875" bestFit="1" customWidth="1"/>
    <col min="3" max="3" width="23" bestFit="1" customWidth="1"/>
    <col min="11" max="11" width="46.28515625" customWidth="1"/>
  </cols>
  <sheetData>
    <row r="1" spans="1:12" ht="30" x14ac:dyDescent="0.25">
      <c r="A1" s="11" t="s">
        <v>62</v>
      </c>
      <c r="B1" s="11" t="s">
        <v>128</v>
      </c>
      <c r="D1" s="13" t="s">
        <v>145</v>
      </c>
      <c r="E1" s="13" t="s">
        <v>146</v>
      </c>
      <c r="F1" s="13" t="s">
        <v>147</v>
      </c>
      <c r="G1" s="13" t="s">
        <v>148</v>
      </c>
      <c r="H1" s="13" t="s">
        <v>149</v>
      </c>
      <c r="I1" s="13" t="s">
        <v>150</v>
      </c>
      <c r="J1" s="13" t="s">
        <v>234</v>
      </c>
      <c r="K1" s="13" t="s">
        <v>191</v>
      </c>
    </row>
    <row r="2" spans="1:12" x14ac:dyDescent="0.25">
      <c r="A2" t="s">
        <v>69</v>
      </c>
      <c r="B2" t="s">
        <v>129</v>
      </c>
      <c r="D2" s="16" t="s">
        <v>192</v>
      </c>
      <c r="E2" s="16" t="s">
        <v>193</v>
      </c>
      <c r="F2" s="16" t="s">
        <v>152</v>
      </c>
      <c r="G2" s="16" t="s">
        <v>194</v>
      </c>
      <c r="H2" s="16" t="s">
        <v>162</v>
      </c>
      <c r="I2" s="16" t="s">
        <v>195</v>
      </c>
      <c r="J2" s="16">
        <v>8</v>
      </c>
      <c r="K2" s="16" t="s">
        <v>196</v>
      </c>
      <c r="L2" s="21"/>
    </row>
    <row r="3" spans="1:12" x14ac:dyDescent="0.25">
      <c r="A3" t="s">
        <v>64</v>
      </c>
      <c r="B3" t="s">
        <v>130</v>
      </c>
      <c r="D3" s="16" t="s">
        <v>197</v>
      </c>
      <c r="E3" s="16" t="s">
        <v>151</v>
      </c>
      <c r="F3" s="16" t="s">
        <v>156</v>
      </c>
      <c r="G3" s="16" t="s">
        <v>157</v>
      </c>
      <c r="H3" s="16" t="s">
        <v>153</v>
      </c>
      <c r="I3" s="16" t="s">
        <v>154</v>
      </c>
      <c r="J3" s="16">
        <v>10</v>
      </c>
      <c r="K3" s="16" t="s">
        <v>198</v>
      </c>
      <c r="L3" s="21"/>
    </row>
    <row r="4" spans="1:12" x14ac:dyDescent="0.25">
      <c r="A4" t="s">
        <v>68</v>
      </c>
      <c r="B4" t="s">
        <v>66</v>
      </c>
      <c r="D4" s="16" t="s">
        <v>199</v>
      </c>
      <c r="E4" s="16" t="s">
        <v>155</v>
      </c>
      <c r="F4" s="16" t="s">
        <v>156</v>
      </c>
      <c r="G4" s="16" t="s">
        <v>158</v>
      </c>
      <c r="H4" s="16" t="s">
        <v>159</v>
      </c>
      <c r="I4" s="16" t="s">
        <v>160</v>
      </c>
      <c r="J4" s="16">
        <v>12</v>
      </c>
      <c r="K4" s="16" t="s">
        <v>200</v>
      </c>
      <c r="L4" s="21"/>
    </row>
    <row r="5" spans="1:12" x14ac:dyDescent="0.25">
      <c r="A5" t="s">
        <v>66</v>
      </c>
      <c r="B5" t="s">
        <v>131</v>
      </c>
      <c r="D5" s="16" t="s">
        <v>201</v>
      </c>
      <c r="E5" s="16" t="s">
        <v>163</v>
      </c>
      <c r="F5" s="16" t="s">
        <v>161</v>
      </c>
      <c r="G5" s="16" t="s">
        <v>164</v>
      </c>
      <c r="H5" s="16" t="s">
        <v>165</v>
      </c>
      <c r="I5" s="16" t="s">
        <v>166</v>
      </c>
      <c r="J5" s="16">
        <v>12</v>
      </c>
      <c r="K5" s="16" t="s">
        <v>202</v>
      </c>
      <c r="L5" s="21"/>
    </row>
    <row r="6" spans="1:12" x14ac:dyDescent="0.25">
      <c r="A6" t="s">
        <v>72</v>
      </c>
      <c r="B6" t="s">
        <v>132</v>
      </c>
      <c r="D6" s="16" t="s">
        <v>203</v>
      </c>
      <c r="E6" s="16" t="s">
        <v>168</v>
      </c>
      <c r="F6" s="16" t="s">
        <v>169</v>
      </c>
      <c r="G6" s="16" t="s">
        <v>170</v>
      </c>
      <c r="H6" s="16" t="s">
        <v>171</v>
      </c>
      <c r="I6" s="16" t="s">
        <v>167</v>
      </c>
      <c r="J6" s="16">
        <v>13</v>
      </c>
      <c r="K6" s="16" t="s">
        <v>204</v>
      </c>
      <c r="L6" s="21"/>
    </row>
    <row r="7" spans="1:12" x14ac:dyDescent="0.25">
      <c r="A7" t="s">
        <v>63</v>
      </c>
      <c r="B7" t="s">
        <v>68</v>
      </c>
      <c r="D7" s="16" t="s">
        <v>205</v>
      </c>
      <c r="E7" s="16" t="s">
        <v>172</v>
      </c>
      <c r="F7" s="16" t="s">
        <v>169</v>
      </c>
      <c r="G7" s="16" t="s">
        <v>183</v>
      </c>
      <c r="H7" s="16" t="s">
        <v>206</v>
      </c>
      <c r="I7" s="16" t="s">
        <v>173</v>
      </c>
      <c r="J7" s="16">
        <v>14</v>
      </c>
      <c r="K7" s="16" t="s">
        <v>207</v>
      </c>
      <c r="L7" s="21"/>
    </row>
    <row r="8" spans="1:12" x14ac:dyDescent="0.25">
      <c r="A8" t="s">
        <v>65</v>
      </c>
      <c r="B8" t="s">
        <v>133</v>
      </c>
      <c r="D8" s="16" t="s">
        <v>208</v>
      </c>
      <c r="E8" s="16" t="s">
        <v>174</v>
      </c>
      <c r="F8" s="16" t="s">
        <v>175</v>
      </c>
      <c r="G8" s="16" t="s">
        <v>176</v>
      </c>
      <c r="H8" s="16" t="s">
        <v>177</v>
      </c>
      <c r="I8" s="16" t="s">
        <v>178</v>
      </c>
      <c r="J8" s="16">
        <v>15</v>
      </c>
      <c r="K8" s="16" t="s">
        <v>209</v>
      </c>
      <c r="L8" s="21"/>
    </row>
    <row r="9" spans="1:12" x14ac:dyDescent="0.25">
      <c r="A9" t="s">
        <v>67</v>
      </c>
      <c r="D9" s="16" t="s">
        <v>210</v>
      </c>
      <c r="E9" s="16" t="s">
        <v>179</v>
      </c>
      <c r="F9" s="16" t="s">
        <v>175</v>
      </c>
      <c r="G9" s="16" t="s">
        <v>180</v>
      </c>
      <c r="H9" s="16" t="s">
        <v>181</v>
      </c>
      <c r="I9" s="16" t="s">
        <v>182</v>
      </c>
      <c r="J9" s="16">
        <v>16</v>
      </c>
      <c r="K9" s="16" t="s">
        <v>211</v>
      </c>
      <c r="L9" s="21"/>
    </row>
    <row r="10" spans="1:12" x14ac:dyDescent="0.25">
      <c r="A10" t="s">
        <v>70</v>
      </c>
      <c r="D10" s="16" t="s">
        <v>212</v>
      </c>
      <c r="E10" s="16" t="s">
        <v>185</v>
      </c>
      <c r="F10" s="16" t="s">
        <v>186</v>
      </c>
      <c r="G10" s="16" t="s">
        <v>187</v>
      </c>
      <c r="H10" s="16" t="s">
        <v>188</v>
      </c>
      <c r="I10" s="16" t="s">
        <v>189</v>
      </c>
      <c r="J10" s="16">
        <v>18</v>
      </c>
      <c r="K10" s="16" t="s">
        <v>213</v>
      </c>
      <c r="L10" s="21"/>
    </row>
    <row r="11" spans="1:12" x14ac:dyDescent="0.25">
      <c r="A11" t="s">
        <v>71</v>
      </c>
      <c r="D11" s="16" t="s">
        <v>214</v>
      </c>
      <c r="E11" s="16" t="s">
        <v>215</v>
      </c>
      <c r="F11" s="16" t="s">
        <v>216</v>
      </c>
      <c r="G11" s="16" t="s">
        <v>217</v>
      </c>
      <c r="H11" s="16" t="s">
        <v>218</v>
      </c>
      <c r="I11" s="16" t="s">
        <v>219</v>
      </c>
      <c r="J11" s="16">
        <v>20</v>
      </c>
      <c r="K11" s="16" t="s">
        <v>220</v>
      </c>
      <c r="L11" s="21"/>
    </row>
    <row r="12" spans="1:12" x14ac:dyDescent="0.25">
      <c r="D12" s="16" t="s">
        <v>221</v>
      </c>
      <c r="E12" s="16" t="s">
        <v>222</v>
      </c>
      <c r="F12" s="16" t="s">
        <v>223</v>
      </c>
      <c r="G12" s="16" t="s">
        <v>184</v>
      </c>
      <c r="H12" s="16" t="s">
        <v>224</v>
      </c>
      <c r="I12" s="16" t="s">
        <v>225</v>
      </c>
      <c r="J12" s="16">
        <v>20</v>
      </c>
      <c r="K12" s="16" t="s">
        <v>226</v>
      </c>
      <c r="L12" s="21"/>
    </row>
    <row r="13" spans="1:12" x14ac:dyDescent="0.25">
      <c r="D13" s="16" t="s">
        <v>227</v>
      </c>
      <c r="E13" s="16" t="s">
        <v>228</v>
      </c>
      <c r="F13" s="16" t="s">
        <v>229</v>
      </c>
      <c r="G13" s="16" t="s">
        <v>230</v>
      </c>
      <c r="H13" s="16" t="s">
        <v>231</v>
      </c>
      <c r="I13" s="16" t="s">
        <v>232</v>
      </c>
      <c r="J13" s="16">
        <v>24</v>
      </c>
      <c r="K13" s="16" t="s">
        <v>233</v>
      </c>
      <c r="L13" s="21"/>
    </row>
    <row r="15" spans="1:12" x14ac:dyDescent="0.25">
      <c r="A15" s="27" t="s">
        <v>241</v>
      </c>
      <c r="B15" s="27"/>
      <c r="C15" s="27"/>
    </row>
    <row r="16" spans="1:12" x14ac:dyDescent="0.25">
      <c r="A16" s="28" t="s">
        <v>242</v>
      </c>
      <c r="B16" s="28" t="s">
        <v>246</v>
      </c>
      <c r="C16" s="28" t="s">
        <v>243</v>
      </c>
    </row>
    <row r="17" spans="1:11" x14ac:dyDescent="0.25">
      <c r="A17" t="s">
        <v>244</v>
      </c>
      <c r="B17" t="s">
        <v>247</v>
      </c>
      <c r="C17" t="s">
        <v>253</v>
      </c>
    </row>
    <row r="18" spans="1:11" x14ac:dyDescent="0.25">
      <c r="A18" t="s">
        <v>245</v>
      </c>
      <c r="B18" t="s">
        <v>247</v>
      </c>
      <c r="C18" t="s">
        <v>251</v>
      </c>
    </row>
    <row r="19" spans="1:11" x14ac:dyDescent="0.25">
      <c r="B19" t="s">
        <v>249</v>
      </c>
      <c r="C19" t="s">
        <v>254</v>
      </c>
    </row>
    <row r="20" spans="1:11" x14ac:dyDescent="0.25">
      <c r="A20" t="s">
        <v>248</v>
      </c>
      <c r="B20" t="s">
        <v>247</v>
      </c>
      <c r="C20" t="s">
        <v>252</v>
      </c>
      <c r="D20" s="13"/>
      <c r="E20" s="13"/>
      <c r="F20" s="13"/>
      <c r="G20" s="13"/>
      <c r="H20" s="13"/>
      <c r="I20" s="13"/>
      <c r="J20" s="13"/>
      <c r="K20" s="13"/>
    </row>
    <row r="21" spans="1:11" x14ac:dyDescent="0.25">
      <c r="B21" t="s">
        <v>249</v>
      </c>
      <c r="C21" t="s">
        <v>250</v>
      </c>
      <c r="D21" s="21"/>
      <c r="E21" s="21"/>
      <c r="F21" s="16"/>
      <c r="G21" s="16"/>
      <c r="H21" s="16"/>
      <c r="I21" s="16"/>
      <c r="J21" s="16"/>
      <c r="K21" s="16"/>
    </row>
    <row r="22" spans="1:11" x14ac:dyDescent="0.25">
      <c r="A22" t="s">
        <v>255</v>
      </c>
      <c r="D22" s="21"/>
      <c r="E22" s="21"/>
      <c r="F22" s="16"/>
      <c r="G22" s="16"/>
      <c r="H22" s="16"/>
      <c r="I22" s="16"/>
      <c r="J22" s="16"/>
      <c r="K22" s="16"/>
    </row>
    <row r="23" spans="1:11" x14ac:dyDescent="0.25">
      <c r="D23" s="21"/>
      <c r="E23" s="21"/>
      <c r="F23" s="16"/>
      <c r="G23" s="16"/>
      <c r="H23" s="16"/>
      <c r="I23" s="16"/>
      <c r="J23" s="16"/>
      <c r="K23" s="16"/>
    </row>
    <row r="24" spans="1:11" x14ac:dyDescent="0.25">
      <c r="D24" s="21"/>
      <c r="E24" s="21"/>
      <c r="F24" s="16"/>
      <c r="G24" s="16"/>
      <c r="H24" s="16"/>
      <c r="I24" s="16"/>
      <c r="J24" s="16"/>
      <c r="K24" s="16"/>
    </row>
    <row r="25" spans="1:11" x14ac:dyDescent="0.25">
      <c r="D25" s="21"/>
      <c r="E25" s="21"/>
      <c r="F25" s="16"/>
      <c r="G25" s="16"/>
      <c r="H25" s="16"/>
      <c r="I25" s="16"/>
      <c r="J25" s="16"/>
      <c r="K25" s="16"/>
    </row>
    <row r="26" spans="1:11" x14ac:dyDescent="0.25">
      <c r="D26" s="21"/>
      <c r="E26" s="21"/>
      <c r="F26" s="16"/>
      <c r="G26" s="16"/>
      <c r="H26" s="16"/>
      <c r="I26" s="16"/>
      <c r="J26" s="16"/>
      <c r="K26" s="16"/>
    </row>
    <row r="27" spans="1:11" x14ac:dyDescent="0.25">
      <c r="D27" s="21"/>
      <c r="E27" s="21"/>
      <c r="F27" s="16"/>
      <c r="G27" s="16"/>
      <c r="H27" s="16"/>
      <c r="I27" s="16"/>
      <c r="J27" s="16"/>
      <c r="K27" s="16"/>
    </row>
    <row r="28" spans="1:11" x14ac:dyDescent="0.25">
      <c r="D28" s="21"/>
      <c r="E28" s="21"/>
      <c r="F28" s="16"/>
      <c r="G28" s="16"/>
      <c r="H28" s="16"/>
      <c r="I28" s="16"/>
      <c r="J28" s="16"/>
      <c r="K28" s="16"/>
    </row>
    <row r="29" spans="1:11" x14ac:dyDescent="0.25">
      <c r="D29" s="21"/>
      <c r="E29" s="21"/>
      <c r="F29" s="16"/>
      <c r="G29" s="16"/>
      <c r="H29" s="16"/>
      <c r="I29" s="16"/>
      <c r="J29" s="16"/>
      <c r="K29" s="16"/>
    </row>
    <row r="30" spans="1:11" x14ac:dyDescent="0.25">
      <c r="D30" s="21"/>
      <c r="E30" s="21"/>
      <c r="F30" s="16"/>
      <c r="G30" s="16"/>
      <c r="H30" s="16"/>
      <c r="I30" s="16"/>
      <c r="J30" s="16"/>
      <c r="K30" s="16"/>
    </row>
    <row r="31" spans="1:11" x14ac:dyDescent="0.25">
      <c r="D31" s="21"/>
      <c r="E31" s="21"/>
      <c r="F31" s="16"/>
      <c r="G31" s="16"/>
      <c r="H31" s="16"/>
      <c r="I31" s="16"/>
      <c r="J31" s="16"/>
      <c r="K31" s="16"/>
    </row>
    <row r="32" spans="1:11" x14ac:dyDescent="0.25">
      <c r="D32" s="21"/>
      <c r="E32" s="21"/>
      <c r="F32" s="16"/>
      <c r="G32" s="16"/>
      <c r="H32" s="16"/>
      <c r="I32" s="16"/>
      <c r="J32" s="16"/>
      <c r="K32" s="16"/>
    </row>
    <row r="40" spans="6:13" x14ac:dyDescent="0.25">
      <c r="F40" s="13"/>
      <c r="G40" s="13"/>
      <c r="H40" s="13"/>
      <c r="I40" s="13"/>
      <c r="J40" s="13"/>
      <c r="K40" s="13"/>
      <c r="L40" s="13"/>
      <c r="M40" s="13"/>
    </row>
    <row r="41" spans="6:13" x14ac:dyDescent="0.25">
      <c r="F41" s="21"/>
      <c r="G41" s="21"/>
      <c r="H41" s="16"/>
      <c r="I41" s="16"/>
      <c r="J41" s="16"/>
      <c r="K41" s="16"/>
      <c r="L41" s="16"/>
      <c r="M41" s="16"/>
    </row>
    <row r="42" spans="6:13" x14ac:dyDescent="0.25">
      <c r="F42" s="21"/>
      <c r="G42" s="21"/>
      <c r="H42" s="16"/>
      <c r="I42" s="16"/>
      <c r="J42" s="16"/>
      <c r="K42" s="16"/>
      <c r="L42" s="16"/>
      <c r="M42" s="16"/>
    </row>
    <row r="43" spans="6:13" x14ac:dyDescent="0.25">
      <c r="F43" s="21"/>
      <c r="G43" s="21"/>
      <c r="H43" s="16"/>
      <c r="I43" s="16"/>
      <c r="J43" s="16"/>
      <c r="K43" s="16"/>
      <c r="L43" s="16"/>
      <c r="M43" s="16"/>
    </row>
    <row r="44" spans="6:13" x14ac:dyDescent="0.25">
      <c r="F44" s="21"/>
      <c r="G44" s="21"/>
      <c r="H44" s="16"/>
      <c r="I44" s="16"/>
      <c r="J44" s="16"/>
      <c r="K44" s="16"/>
      <c r="L44" s="16"/>
      <c r="M44" s="16"/>
    </row>
    <row r="45" spans="6:13" x14ac:dyDescent="0.25">
      <c r="F45" s="21"/>
      <c r="G45" s="21"/>
      <c r="H45" s="16"/>
      <c r="I45" s="16"/>
      <c r="J45" s="16"/>
      <c r="K45" s="16"/>
      <c r="L45" s="16"/>
      <c r="M45" s="16"/>
    </row>
    <row r="46" spans="6:13" x14ac:dyDescent="0.25">
      <c r="F46" s="21"/>
      <c r="G46" s="21"/>
      <c r="H46" s="16"/>
      <c r="I46" s="16"/>
      <c r="J46" s="16"/>
      <c r="K46" s="16"/>
      <c r="L46" s="16"/>
      <c r="M46" s="16"/>
    </row>
    <row r="47" spans="6:13" x14ac:dyDescent="0.25">
      <c r="F47" s="21"/>
      <c r="G47" s="21"/>
      <c r="H47" s="16"/>
      <c r="I47" s="16"/>
      <c r="J47" s="16"/>
      <c r="K47" s="16"/>
      <c r="L47" s="16"/>
      <c r="M47" s="16"/>
    </row>
    <row r="48" spans="6:13" x14ac:dyDescent="0.25">
      <c r="F48" s="21"/>
      <c r="G48" s="21"/>
      <c r="H48" s="16"/>
      <c r="I48" s="16"/>
      <c r="J48" s="16"/>
      <c r="K48" s="16"/>
      <c r="L48" s="16"/>
      <c r="M48" s="16"/>
    </row>
    <row r="49" spans="6:13" x14ac:dyDescent="0.25">
      <c r="F49" s="21"/>
      <c r="G49" s="21"/>
      <c r="H49" s="16"/>
      <c r="I49" s="16"/>
      <c r="J49" s="16"/>
      <c r="K49" s="16"/>
      <c r="L49" s="16"/>
      <c r="M49" s="16"/>
    </row>
    <row r="50" spans="6:13" x14ac:dyDescent="0.25">
      <c r="F50" s="21"/>
      <c r="G50" s="21"/>
      <c r="H50" s="16"/>
      <c r="I50" s="16"/>
      <c r="J50" s="16"/>
      <c r="K50" s="16"/>
      <c r="L50" s="16"/>
      <c r="M50" s="16"/>
    </row>
    <row r="51" spans="6:13" x14ac:dyDescent="0.25">
      <c r="F51" s="21"/>
      <c r="G51" s="21"/>
      <c r="H51" s="16"/>
      <c r="I51" s="16"/>
      <c r="J51" s="16"/>
      <c r="K51" s="16"/>
      <c r="L51" s="16"/>
      <c r="M51" s="16"/>
    </row>
    <row r="52" spans="6:13" x14ac:dyDescent="0.25">
      <c r="F52" s="21"/>
      <c r="G52" s="21"/>
      <c r="H52" s="16"/>
      <c r="I52" s="16"/>
      <c r="J52" s="16"/>
      <c r="K52" s="16"/>
      <c r="L52" s="16"/>
      <c r="M52" s="16"/>
    </row>
  </sheetData>
  <sortState xmlns:xlrd2="http://schemas.microsoft.com/office/spreadsheetml/2017/richdata2" ref="A2:A11">
    <sortCondition ref="A2:A11"/>
  </sortState>
  <mergeCells count="1">
    <mergeCell ref="A15:C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2691-F153-42DD-AE26-EE64F03BC3A1}">
  <dimension ref="A1:Q81"/>
  <sheetViews>
    <sheetView workbookViewId="0">
      <selection activeCell="D30" sqref="D30:D41"/>
    </sheetView>
  </sheetViews>
  <sheetFormatPr defaultRowHeight="15" x14ac:dyDescent="0.25"/>
  <cols>
    <col min="1" max="1" width="13" customWidth="1"/>
    <col min="10" max="10" width="11.5703125" bestFit="1" customWidth="1"/>
  </cols>
  <sheetData>
    <row r="1" spans="1:17" x14ac:dyDescent="0.25">
      <c r="A1" s="13" t="s">
        <v>134</v>
      </c>
      <c r="B1" s="15" t="s">
        <v>135</v>
      </c>
      <c r="C1" s="15" t="s">
        <v>136</v>
      </c>
      <c r="D1" s="15" t="s">
        <v>137</v>
      </c>
      <c r="E1" s="15" t="s">
        <v>138</v>
      </c>
      <c r="F1" s="15" t="s">
        <v>4</v>
      </c>
      <c r="G1" s="15" t="s">
        <v>139</v>
      </c>
      <c r="H1" s="15" t="s">
        <v>140</v>
      </c>
      <c r="O1" s="13"/>
      <c r="P1" s="13"/>
      <c r="Q1" s="13"/>
    </row>
    <row r="2" spans="1:17" x14ac:dyDescent="0.25">
      <c r="A2" s="16" t="s">
        <v>11</v>
      </c>
      <c r="B2" s="14">
        <v>6</v>
      </c>
      <c r="C2" s="14">
        <v>2</v>
      </c>
      <c r="D2" s="14">
        <v>2</v>
      </c>
      <c r="E2" s="14">
        <v>3</v>
      </c>
      <c r="F2" s="14">
        <v>14</v>
      </c>
      <c r="G2" s="14">
        <v>6</v>
      </c>
      <c r="H2" s="14">
        <v>1</v>
      </c>
      <c r="I2">
        <v>20</v>
      </c>
      <c r="J2" s="20">
        <f>K14*L2</f>
        <v>8.5116279069767433</v>
      </c>
      <c r="K2">
        <f>(I2/5)*2-1</f>
        <v>7</v>
      </c>
      <c r="L2" s="19">
        <f t="shared" ref="L2:L12" si="0">G2/$G$14</f>
        <v>0.83720930232558133</v>
      </c>
      <c r="O2" s="16"/>
      <c r="P2" s="16"/>
      <c r="Q2" s="16"/>
    </row>
    <row r="3" spans="1:17" x14ac:dyDescent="0.25">
      <c r="A3" s="16" t="s">
        <v>21</v>
      </c>
      <c r="B3" s="14">
        <v>5</v>
      </c>
      <c r="C3" s="14">
        <v>3</v>
      </c>
      <c r="D3" s="14">
        <v>2</v>
      </c>
      <c r="E3" s="14">
        <v>3</v>
      </c>
      <c r="F3" s="14">
        <v>14</v>
      </c>
      <c r="G3" s="14">
        <v>6</v>
      </c>
      <c r="H3" s="14">
        <v>2</v>
      </c>
      <c r="I3">
        <v>20</v>
      </c>
      <c r="J3" s="20">
        <f t="shared" ref="J2:J12" si="1">K3*L3</f>
        <v>5.8604651162790695</v>
      </c>
      <c r="K3">
        <f t="shared" ref="K3:K55" si="2">(I3/5)*2-1</f>
        <v>7</v>
      </c>
      <c r="L3" s="19">
        <f t="shared" si="0"/>
        <v>0.83720930232558133</v>
      </c>
      <c r="O3" s="16"/>
      <c r="P3" s="16"/>
      <c r="Q3" s="16"/>
    </row>
    <row r="4" spans="1:17" x14ac:dyDescent="0.25">
      <c r="A4" s="16" t="s">
        <v>22</v>
      </c>
      <c r="B4" s="14">
        <v>5</v>
      </c>
      <c r="C4" s="14">
        <v>3</v>
      </c>
      <c r="D4" s="14">
        <v>2</v>
      </c>
      <c r="E4" s="14">
        <v>3</v>
      </c>
      <c r="F4" s="14">
        <v>14</v>
      </c>
      <c r="G4" s="14">
        <v>6</v>
      </c>
      <c r="H4" s="14">
        <v>2</v>
      </c>
      <c r="I4">
        <v>20</v>
      </c>
      <c r="J4" s="20">
        <f t="shared" si="1"/>
        <v>5.8604651162790695</v>
      </c>
      <c r="K4">
        <f t="shared" si="2"/>
        <v>7</v>
      </c>
      <c r="L4" s="19">
        <f t="shared" si="0"/>
        <v>0.83720930232558133</v>
      </c>
      <c r="O4" s="16"/>
      <c r="P4" s="16"/>
      <c r="Q4" s="16"/>
    </row>
    <row r="5" spans="1:17" x14ac:dyDescent="0.25">
      <c r="A5" s="16" t="s">
        <v>24</v>
      </c>
      <c r="B5" s="14">
        <v>5</v>
      </c>
      <c r="C5" s="14">
        <v>2</v>
      </c>
      <c r="D5" s="14">
        <v>3</v>
      </c>
      <c r="E5" s="14">
        <v>3</v>
      </c>
      <c r="F5" s="14">
        <v>16</v>
      </c>
      <c r="G5" s="14">
        <v>7</v>
      </c>
      <c r="H5" s="14">
        <v>2</v>
      </c>
      <c r="I5">
        <v>25</v>
      </c>
      <c r="J5" s="20">
        <f t="shared" si="1"/>
        <v>8.7906976744186043</v>
      </c>
      <c r="K5">
        <f t="shared" si="2"/>
        <v>9</v>
      </c>
      <c r="L5" s="19">
        <f t="shared" si="0"/>
        <v>0.97674418604651159</v>
      </c>
      <c r="O5" s="16"/>
      <c r="P5" s="16"/>
      <c r="Q5" s="16"/>
    </row>
    <row r="6" spans="1:17" x14ac:dyDescent="0.25">
      <c r="A6" s="16" t="s">
        <v>51</v>
      </c>
      <c r="B6" s="14">
        <v>6</v>
      </c>
      <c r="C6" s="14">
        <v>4</v>
      </c>
      <c r="D6" s="14">
        <v>3</v>
      </c>
      <c r="E6" s="14">
        <v>3</v>
      </c>
      <c r="F6" s="14">
        <v>15</v>
      </c>
      <c r="G6" s="14">
        <v>7</v>
      </c>
      <c r="H6" s="14">
        <v>2</v>
      </c>
      <c r="I6">
        <v>25</v>
      </c>
      <c r="J6" s="20">
        <f t="shared" si="1"/>
        <v>8.7906976744186043</v>
      </c>
      <c r="K6">
        <f t="shared" si="2"/>
        <v>9</v>
      </c>
      <c r="L6" s="19">
        <f t="shared" si="0"/>
        <v>0.97674418604651159</v>
      </c>
      <c r="O6" s="16"/>
      <c r="P6" s="16"/>
      <c r="Q6" s="16"/>
    </row>
    <row r="7" spans="1:17" x14ac:dyDescent="0.25">
      <c r="A7" s="16" t="s">
        <v>26</v>
      </c>
      <c r="B7" s="14">
        <v>4</v>
      </c>
      <c r="C7" s="14">
        <v>3</v>
      </c>
      <c r="D7" s="14">
        <v>3</v>
      </c>
      <c r="E7" s="14">
        <v>3</v>
      </c>
      <c r="F7" s="14">
        <v>18</v>
      </c>
      <c r="G7" s="14">
        <v>8</v>
      </c>
      <c r="H7" s="14">
        <v>2</v>
      </c>
      <c r="I7">
        <v>30</v>
      </c>
      <c r="J7" s="20">
        <f t="shared" si="1"/>
        <v>12.279069767441861</v>
      </c>
      <c r="K7">
        <f t="shared" si="2"/>
        <v>11</v>
      </c>
      <c r="L7" s="19">
        <f t="shared" si="0"/>
        <v>1.1162790697674418</v>
      </c>
      <c r="O7" s="16"/>
      <c r="P7" s="16"/>
      <c r="Q7" s="16"/>
    </row>
    <row r="8" spans="1:17" x14ac:dyDescent="0.25">
      <c r="A8" s="16" t="s">
        <v>39</v>
      </c>
      <c r="B8" s="14">
        <v>6</v>
      </c>
      <c r="C8" s="14">
        <v>2</v>
      </c>
      <c r="D8" s="14">
        <v>2</v>
      </c>
      <c r="E8" s="14">
        <v>3</v>
      </c>
      <c r="F8" s="14">
        <v>15</v>
      </c>
      <c r="G8" s="14">
        <v>6</v>
      </c>
      <c r="H8" s="14">
        <v>2</v>
      </c>
      <c r="I8">
        <v>30</v>
      </c>
      <c r="J8" s="20">
        <f t="shared" si="1"/>
        <v>9.2093023255813939</v>
      </c>
      <c r="K8">
        <f t="shared" si="2"/>
        <v>11</v>
      </c>
      <c r="L8" s="19">
        <f t="shared" si="0"/>
        <v>0.83720930232558133</v>
      </c>
      <c r="O8" s="16"/>
      <c r="P8" s="16"/>
      <c r="Q8" s="16"/>
    </row>
    <row r="9" spans="1:17" x14ac:dyDescent="0.25">
      <c r="A9" s="16" t="s">
        <v>40</v>
      </c>
      <c r="B9" s="14">
        <v>5</v>
      </c>
      <c r="C9" s="14">
        <v>2</v>
      </c>
      <c r="D9" s="14">
        <v>2</v>
      </c>
      <c r="E9" s="14">
        <v>3</v>
      </c>
      <c r="F9" s="14">
        <v>16</v>
      </c>
      <c r="G9" s="14">
        <v>6</v>
      </c>
      <c r="H9" s="14">
        <v>2</v>
      </c>
      <c r="I9">
        <v>30</v>
      </c>
      <c r="J9" s="20">
        <f t="shared" si="1"/>
        <v>9.2093023255813939</v>
      </c>
      <c r="K9">
        <f t="shared" si="2"/>
        <v>11</v>
      </c>
      <c r="L9" s="19">
        <f t="shared" si="0"/>
        <v>0.83720930232558133</v>
      </c>
      <c r="O9" s="16"/>
      <c r="P9" s="16"/>
      <c r="Q9" s="16"/>
    </row>
    <row r="10" spans="1:17" x14ac:dyDescent="0.25">
      <c r="A10" s="16" t="s">
        <v>41</v>
      </c>
      <c r="B10" s="14">
        <v>6</v>
      </c>
      <c r="C10" s="14">
        <v>3</v>
      </c>
      <c r="D10" s="14">
        <v>3</v>
      </c>
      <c r="E10" s="14">
        <v>3</v>
      </c>
      <c r="F10" s="14">
        <v>14</v>
      </c>
      <c r="G10" s="14">
        <v>7</v>
      </c>
      <c r="H10" s="14">
        <v>2</v>
      </c>
      <c r="I10">
        <v>30</v>
      </c>
      <c r="J10" s="20">
        <f t="shared" si="1"/>
        <v>10.744186046511627</v>
      </c>
      <c r="K10">
        <f t="shared" si="2"/>
        <v>11</v>
      </c>
      <c r="L10" s="19">
        <f t="shared" si="0"/>
        <v>0.97674418604651159</v>
      </c>
      <c r="O10" s="16"/>
      <c r="P10" s="16"/>
      <c r="Q10" s="16"/>
    </row>
    <row r="11" spans="1:17" x14ac:dyDescent="0.25">
      <c r="A11" s="16" t="s">
        <v>42</v>
      </c>
      <c r="B11" s="14">
        <v>3</v>
      </c>
      <c r="C11" s="14">
        <v>4</v>
      </c>
      <c r="D11" s="14">
        <v>4</v>
      </c>
      <c r="E11" s="14">
        <v>3</v>
      </c>
      <c r="F11" s="14">
        <v>20</v>
      </c>
      <c r="G11" s="14">
        <v>9</v>
      </c>
      <c r="H11" s="14">
        <v>3</v>
      </c>
      <c r="I11">
        <v>35</v>
      </c>
      <c r="J11" s="20">
        <f t="shared" si="1"/>
        <v>16.325581395348838</v>
      </c>
      <c r="K11">
        <f t="shared" si="2"/>
        <v>13</v>
      </c>
      <c r="L11" s="19">
        <f t="shared" si="0"/>
        <v>1.2558139534883721</v>
      </c>
      <c r="O11" s="16"/>
      <c r="P11" s="16"/>
      <c r="Q11" s="16"/>
    </row>
    <row r="12" spans="1:17" x14ac:dyDescent="0.25">
      <c r="A12" s="16" t="s">
        <v>43</v>
      </c>
      <c r="B12" s="14">
        <v>4</v>
      </c>
      <c r="C12" s="14">
        <v>6</v>
      </c>
      <c r="D12" s="14">
        <v>3</v>
      </c>
      <c r="E12" s="14">
        <v>3</v>
      </c>
      <c r="F12" s="14">
        <v>18</v>
      </c>
      <c r="G12" s="14">
        <v>8</v>
      </c>
      <c r="H12" s="14">
        <v>2</v>
      </c>
      <c r="I12">
        <v>35</v>
      </c>
      <c r="J12" s="20">
        <f t="shared" si="1"/>
        <v>14.511627906976743</v>
      </c>
      <c r="K12">
        <f t="shared" si="2"/>
        <v>13</v>
      </c>
      <c r="L12" s="19">
        <f t="shared" si="0"/>
        <v>1.1162790697674418</v>
      </c>
      <c r="O12" s="16"/>
      <c r="P12" s="16"/>
      <c r="Q12" s="16"/>
    </row>
    <row r="13" spans="1:17" ht="18" customHeight="1" x14ac:dyDescent="0.25">
      <c r="A13" s="16" t="s">
        <v>44</v>
      </c>
      <c r="B13" s="14">
        <v>4</v>
      </c>
      <c r="C13" s="14">
        <v>4</v>
      </c>
      <c r="D13" s="14">
        <v>5</v>
      </c>
      <c r="E13" s="14">
        <v>3</v>
      </c>
      <c r="F13" s="14">
        <v>22</v>
      </c>
      <c r="G13" s="14">
        <v>10</v>
      </c>
      <c r="H13" s="14">
        <v>3</v>
      </c>
      <c r="I13">
        <v>35</v>
      </c>
      <c r="J13" s="20">
        <f>K13*L13</f>
        <v>18.13953488372093</v>
      </c>
      <c r="K13">
        <f t="shared" si="2"/>
        <v>13</v>
      </c>
      <c r="L13" s="19">
        <f>G13/$G$14</f>
        <v>1.3953488372093024</v>
      </c>
      <c r="O13" s="16"/>
      <c r="P13" s="16"/>
      <c r="Q13" s="16"/>
    </row>
    <row r="14" spans="1:17" x14ac:dyDescent="0.25">
      <c r="G14" s="17">
        <f>AVERAGE(G2:G13)</f>
        <v>7.166666666666667</v>
      </c>
      <c r="J14" s="20">
        <f t="shared" ref="J14:J27" si="3">K14*L14</f>
        <v>0</v>
      </c>
      <c r="K14">
        <f>AVERAGE(K2:K13)</f>
        <v>10.166666666666666</v>
      </c>
    </row>
    <row r="15" spans="1:17" x14ac:dyDescent="0.25">
      <c r="A15" s="13" t="s">
        <v>134</v>
      </c>
      <c r="B15" s="15" t="s">
        <v>135</v>
      </c>
      <c r="C15" s="15" t="s">
        <v>136</v>
      </c>
      <c r="D15" s="15" t="s">
        <v>137</v>
      </c>
      <c r="E15" s="15" t="s">
        <v>138</v>
      </c>
      <c r="F15" s="15" t="s">
        <v>4</v>
      </c>
      <c r="G15" s="15" t="s">
        <v>139</v>
      </c>
      <c r="H15" s="15" t="s">
        <v>140</v>
      </c>
      <c r="J15" s="20">
        <f t="shared" si="3"/>
        <v>0</v>
      </c>
    </row>
    <row r="16" spans="1:17" x14ac:dyDescent="0.25">
      <c r="A16" s="16" t="s">
        <v>53</v>
      </c>
      <c r="B16" s="14">
        <v>6</v>
      </c>
      <c r="C16" s="14">
        <v>2</v>
      </c>
      <c r="D16" s="14">
        <v>2</v>
      </c>
      <c r="E16" s="14">
        <v>4</v>
      </c>
      <c r="F16" s="14">
        <v>18</v>
      </c>
      <c r="G16" s="14">
        <v>8</v>
      </c>
      <c r="H16" s="14">
        <v>2</v>
      </c>
      <c r="I16">
        <v>40</v>
      </c>
      <c r="J16" s="20">
        <f>K28*L16</f>
        <v>12.753623188405795</v>
      </c>
      <c r="K16">
        <f t="shared" si="2"/>
        <v>15</v>
      </c>
      <c r="L16" s="18">
        <f>G16/$G$28</f>
        <v>0.69565217391304346</v>
      </c>
    </row>
    <row r="17" spans="1:12" x14ac:dyDescent="0.25">
      <c r="A17" s="16" t="s">
        <v>55</v>
      </c>
      <c r="B17" s="14">
        <v>5</v>
      </c>
      <c r="C17" s="14">
        <v>2</v>
      </c>
      <c r="D17" s="14">
        <v>3</v>
      </c>
      <c r="E17" s="14">
        <v>4</v>
      </c>
      <c r="F17" s="14">
        <v>20</v>
      </c>
      <c r="G17" s="14">
        <v>9</v>
      </c>
      <c r="H17" s="14">
        <v>2</v>
      </c>
      <c r="I17">
        <v>40</v>
      </c>
      <c r="J17" s="20">
        <f t="shared" si="3"/>
        <v>11.739130434782609</v>
      </c>
      <c r="K17">
        <f t="shared" si="2"/>
        <v>15</v>
      </c>
      <c r="L17" s="18">
        <f t="shared" ref="L17:L27" si="4">G17/$G$28</f>
        <v>0.78260869565217395</v>
      </c>
    </row>
    <row r="18" spans="1:12" x14ac:dyDescent="0.25">
      <c r="A18" s="16" t="s">
        <v>56</v>
      </c>
      <c r="B18" s="14">
        <v>3</v>
      </c>
      <c r="C18" s="14">
        <v>4</v>
      </c>
      <c r="D18" s="14">
        <v>3</v>
      </c>
      <c r="E18" s="14">
        <v>4</v>
      </c>
      <c r="F18" s="14">
        <v>24</v>
      </c>
      <c r="G18" s="14">
        <v>11</v>
      </c>
      <c r="H18" s="14">
        <v>2</v>
      </c>
      <c r="I18">
        <v>45</v>
      </c>
      <c r="J18" s="20">
        <f t="shared" si="3"/>
        <v>16.260869565217391</v>
      </c>
      <c r="K18">
        <f t="shared" si="2"/>
        <v>17</v>
      </c>
      <c r="L18" s="18">
        <f t="shared" si="4"/>
        <v>0.95652173913043481</v>
      </c>
    </row>
    <row r="19" spans="1:12" ht="15" customHeight="1" x14ac:dyDescent="0.25">
      <c r="A19" s="16" t="s">
        <v>28</v>
      </c>
      <c r="B19" s="14">
        <v>6</v>
      </c>
      <c r="C19" s="14">
        <v>4</v>
      </c>
      <c r="D19" s="14">
        <v>3</v>
      </c>
      <c r="E19" s="14">
        <v>4</v>
      </c>
      <c r="F19" s="14">
        <v>25</v>
      </c>
      <c r="G19" s="14">
        <v>11</v>
      </c>
      <c r="H19" s="14">
        <v>3</v>
      </c>
      <c r="I19">
        <v>45</v>
      </c>
      <c r="J19" s="20">
        <f t="shared" si="3"/>
        <v>16.260869565217391</v>
      </c>
      <c r="K19">
        <f t="shared" si="2"/>
        <v>17</v>
      </c>
      <c r="L19" s="18">
        <f t="shared" si="4"/>
        <v>0.95652173913043481</v>
      </c>
    </row>
    <row r="20" spans="1:12" x14ac:dyDescent="0.25">
      <c r="A20" s="16" t="s">
        <v>59</v>
      </c>
      <c r="B20" s="14">
        <v>4</v>
      </c>
      <c r="C20" s="14">
        <v>4</v>
      </c>
      <c r="D20" s="14">
        <v>5</v>
      </c>
      <c r="E20" s="14">
        <v>4</v>
      </c>
      <c r="F20" s="14">
        <v>26</v>
      </c>
      <c r="G20" s="14">
        <v>12</v>
      </c>
      <c r="H20" s="14">
        <v>3</v>
      </c>
      <c r="I20">
        <v>45</v>
      </c>
      <c r="J20" s="20">
        <f t="shared" si="3"/>
        <v>17.739130434782609</v>
      </c>
      <c r="K20">
        <f t="shared" si="2"/>
        <v>17</v>
      </c>
      <c r="L20" s="18">
        <f t="shared" si="4"/>
        <v>1.0434782608695652</v>
      </c>
    </row>
    <row r="21" spans="1:12" x14ac:dyDescent="0.25">
      <c r="A21" s="16" t="s">
        <v>36</v>
      </c>
      <c r="B21" s="14">
        <v>4</v>
      </c>
      <c r="C21" s="14">
        <v>3</v>
      </c>
      <c r="D21" s="14">
        <v>5</v>
      </c>
      <c r="E21" s="14">
        <v>4</v>
      </c>
      <c r="F21" s="14">
        <v>28</v>
      </c>
      <c r="G21" s="14">
        <v>13</v>
      </c>
      <c r="H21" s="14">
        <v>2</v>
      </c>
      <c r="I21">
        <v>50</v>
      </c>
      <c r="J21" s="20">
        <f t="shared" si="3"/>
        <v>21.478260869565215</v>
      </c>
      <c r="K21">
        <f t="shared" si="2"/>
        <v>19</v>
      </c>
      <c r="L21" s="18">
        <f t="shared" si="4"/>
        <v>1.1304347826086956</v>
      </c>
    </row>
    <row r="22" spans="1:12" x14ac:dyDescent="0.25">
      <c r="A22" s="16" t="s">
        <v>35</v>
      </c>
      <c r="B22" s="14">
        <v>3</v>
      </c>
      <c r="C22" s="14">
        <v>2</v>
      </c>
      <c r="D22" s="14">
        <v>5</v>
      </c>
      <c r="E22" s="14">
        <v>4</v>
      </c>
      <c r="F22" s="14">
        <v>31</v>
      </c>
      <c r="G22" s="14">
        <v>14</v>
      </c>
      <c r="H22" s="14">
        <v>2</v>
      </c>
      <c r="I22">
        <v>50</v>
      </c>
      <c r="J22" s="20">
        <f t="shared" si="3"/>
        <v>23.130434782608695</v>
      </c>
      <c r="K22">
        <f t="shared" si="2"/>
        <v>19</v>
      </c>
      <c r="L22" s="18">
        <f t="shared" si="4"/>
        <v>1.2173913043478262</v>
      </c>
    </row>
    <row r="23" spans="1:12" x14ac:dyDescent="0.25">
      <c r="A23" s="16" t="s">
        <v>60</v>
      </c>
      <c r="B23" s="14">
        <v>5</v>
      </c>
      <c r="C23" s="14">
        <v>5</v>
      </c>
      <c r="D23" s="14">
        <v>3</v>
      </c>
      <c r="E23" s="14">
        <v>4</v>
      </c>
      <c r="F23" s="14">
        <v>24</v>
      </c>
      <c r="G23" s="14">
        <v>11</v>
      </c>
      <c r="H23" s="14">
        <v>3</v>
      </c>
      <c r="I23">
        <v>50</v>
      </c>
      <c r="J23" s="20">
        <f t="shared" si="3"/>
        <v>18.173913043478262</v>
      </c>
      <c r="K23">
        <f t="shared" si="2"/>
        <v>19</v>
      </c>
      <c r="L23" s="18">
        <f t="shared" si="4"/>
        <v>0.95652173913043481</v>
      </c>
    </row>
    <row r="24" spans="1:12" x14ac:dyDescent="0.25">
      <c r="A24" s="16" t="s">
        <v>77</v>
      </c>
      <c r="B24" s="14">
        <v>5</v>
      </c>
      <c r="C24" s="14">
        <v>5</v>
      </c>
      <c r="D24" s="14">
        <v>3</v>
      </c>
      <c r="E24" s="14">
        <v>4</v>
      </c>
      <c r="F24" s="14">
        <v>25</v>
      </c>
      <c r="G24" s="14">
        <v>11</v>
      </c>
      <c r="H24" s="14">
        <v>3</v>
      </c>
      <c r="I24">
        <v>50</v>
      </c>
      <c r="J24" s="20">
        <f t="shared" si="3"/>
        <v>18.173913043478262</v>
      </c>
      <c r="K24">
        <f t="shared" si="2"/>
        <v>19</v>
      </c>
      <c r="L24" s="18">
        <f t="shared" si="4"/>
        <v>0.95652173913043481</v>
      </c>
    </row>
    <row r="25" spans="1:12" x14ac:dyDescent="0.25">
      <c r="A25" s="16" t="s">
        <v>31</v>
      </c>
      <c r="B25" s="14">
        <v>4</v>
      </c>
      <c r="C25" s="14">
        <v>4</v>
      </c>
      <c r="D25" s="14">
        <v>5</v>
      </c>
      <c r="E25" s="14">
        <v>4</v>
      </c>
      <c r="F25" s="14">
        <v>27</v>
      </c>
      <c r="G25" s="14">
        <v>12</v>
      </c>
      <c r="H25" s="14">
        <v>3</v>
      </c>
      <c r="I25">
        <v>55</v>
      </c>
      <c r="J25" s="20">
        <f t="shared" si="3"/>
        <v>21.913043478260867</v>
      </c>
      <c r="K25">
        <f t="shared" si="2"/>
        <v>21</v>
      </c>
      <c r="L25" s="18">
        <f t="shared" si="4"/>
        <v>1.0434782608695652</v>
      </c>
    </row>
    <row r="26" spans="1:12" ht="18" customHeight="1" x14ac:dyDescent="0.25">
      <c r="A26" s="16" t="s">
        <v>32</v>
      </c>
      <c r="B26" s="14">
        <v>5</v>
      </c>
      <c r="C26" s="14">
        <v>4</v>
      </c>
      <c r="D26" s="14">
        <v>5</v>
      </c>
      <c r="E26" s="14">
        <v>4</v>
      </c>
      <c r="F26" s="14">
        <v>31</v>
      </c>
      <c r="G26" s="14">
        <v>13</v>
      </c>
      <c r="H26" s="14">
        <v>2</v>
      </c>
      <c r="I26">
        <v>55</v>
      </c>
      <c r="J26" s="20">
        <f t="shared" si="3"/>
        <v>23.739130434782606</v>
      </c>
      <c r="K26">
        <f t="shared" si="2"/>
        <v>21</v>
      </c>
      <c r="L26" s="18">
        <f t="shared" si="4"/>
        <v>1.1304347826086956</v>
      </c>
    </row>
    <row r="27" spans="1:12" x14ac:dyDescent="0.25">
      <c r="A27" s="16" t="s">
        <v>34</v>
      </c>
      <c r="B27" s="14">
        <v>5</v>
      </c>
      <c r="C27" s="14">
        <v>4</v>
      </c>
      <c r="D27" s="14">
        <v>6</v>
      </c>
      <c r="E27" s="14">
        <v>4</v>
      </c>
      <c r="F27" s="14">
        <v>30</v>
      </c>
      <c r="G27" s="14">
        <v>13</v>
      </c>
      <c r="H27" s="14">
        <v>3</v>
      </c>
      <c r="I27">
        <v>55</v>
      </c>
      <c r="J27" s="20">
        <f t="shared" si="3"/>
        <v>23.739130434782606</v>
      </c>
      <c r="K27">
        <f t="shared" si="2"/>
        <v>21</v>
      </c>
      <c r="L27" s="18">
        <f t="shared" si="4"/>
        <v>1.1304347826086956</v>
      </c>
    </row>
    <row r="28" spans="1:12" x14ac:dyDescent="0.25">
      <c r="G28" s="17">
        <f>AVERAGE(G16:G27)</f>
        <v>11.5</v>
      </c>
      <c r="K28">
        <f>AVERAGE(K16:K27)</f>
        <v>18.333333333333332</v>
      </c>
    </row>
    <row r="29" spans="1:12" x14ac:dyDescent="0.25">
      <c r="A29" s="13" t="s">
        <v>134</v>
      </c>
      <c r="B29" s="15" t="s">
        <v>135</v>
      </c>
      <c r="C29" s="15" t="s">
        <v>136</v>
      </c>
      <c r="D29" s="15" t="s">
        <v>137</v>
      </c>
      <c r="E29" s="15" t="s">
        <v>138</v>
      </c>
      <c r="F29" s="15" t="s">
        <v>4</v>
      </c>
      <c r="G29" s="15" t="s">
        <v>139</v>
      </c>
      <c r="H29" s="15" t="s">
        <v>140</v>
      </c>
    </row>
    <row r="30" spans="1:12" x14ac:dyDescent="0.25">
      <c r="A30" s="16" t="s">
        <v>99</v>
      </c>
      <c r="B30" s="14">
        <v>3</v>
      </c>
      <c r="C30" s="14">
        <v>3</v>
      </c>
      <c r="D30" s="14">
        <v>3</v>
      </c>
      <c r="E30" s="14">
        <v>5</v>
      </c>
      <c r="F30" s="14">
        <v>33</v>
      </c>
      <c r="G30" s="14">
        <v>15</v>
      </c>
      <c r="H30" s="14">
        <v>2</v>
      </c>
      <c r="I30">
        <v>60</v>
      </c>
      <c r="J30" s="14">
        <v>23</v>
      </c>
      <c r="K30">
        <f t="shared" si="2"/>
        <v>23</v>
      </c>
    </row>
    <row r="31" spans="1:12" x14ac:dyDescent="0.25">
      <c r="A31" s="16" t="s">
        <v>79</v>
      </c>
      <c r="B31" s="14">
        <v>5</v>
      </c>
      <c r="C31" s="14">
        <v>2</v>
      </c>
      <c r="D31" s="14">
        <v>3</v>
      </c>
      <c r="E31" s="14">
        <v>5</v>
      </c>
      <c r="F31" s="14">
        <v>33</v>
      </c>
      <c r="G31" s="14">
        <v>15</v>
      </c>
      <c r="H31" s="14">
        <v>2</v>
      </c>
      <c r="I31">
        <v>60</v>
      </c>
      <c r="J31" s="14">
        <v>22</v>
      </c>
      <c r="K31">
        <f t="shared" si="2"/>
        <v>23</v>
      </c>
    </row>
    <row r="32" spans="1:12" x14ac:dyDescent="0.25">
      <c r="A32" s="16" t="s">
        <v>81</v>
      </c>
      <c r="B32" s="14">
        <v>3</v>
      </c>
      <c r="C32" s="14">
        <v>5</v>
      </c>
      <c r="D32" s="14">
        <v>2</v>
      </c>
      <c r="E32" s="14">
        <v>5</v>
      </c>
      <c r="F32" s="14">
        <v>30</v>
      </c>
      <c r="G32" s="14">
        <v>14</v>
      </c>
      <c r="H32" s="14">
        <v>1</v>
      </c>
      <c r="I32">
        <v>60</v>
      </c>
      <c r="J32" s="14">
        <v>23</v>
      </c>
      <c r="K32">
        <f t="shared" si="2"/>
        <v>23</v>
      </c>
    </row>
    <row r="33" spans="1:11" x14ac:dyDescent="0.25">
      <c r="A33" s="16" t="s">
        <v>127</v>
      </c>
      <c r="B33" s="14">
        <v>4</v>
      </c>
      <c r="C33" s="14">
        <v>2</v>
      </c>
      <c r="D33" s="14">
        <v>4</v>
      </c>
      <c r="E33" s="14">
        <v>5</v>
      </c>
      <c r="F33" s="14">
        <v>36</v>
      </c>
      <c r="G33" s="14">
        <v>16</v>
      </c>
      <c r="H33" s="14">
        <v>2</v>
      </c>
      <c r="I33">
        <v>65</v>
      </c>
      <c r="K33">
        <f t="shared" si="2"/>
        <v>25</v>
      </c>
    </row>
    <row r="34" spans="1:11" x14ac:dyDescent="0.25">
      <c r="A34" s="16" t="s">
        <v>83</v>
      </c>
      <c r="B34" s="14">
        <v>3</v>
      </c>
      <c r="C34" s="14">
        <v>3</v>
      </c>
      <c r="D34" s="14">
        <v>6</v>
      </c>
      <c r="E34" s="14">
        <v>5</v>
      </c>
      <c r="F34" s="14">
        <v>38</v>
      </c>
      <c r="G34" s="14">
        <v>17</v>
      </c>
      <c r="H34" s="14">
        <v>3</v>
      </c>
      <c r="I34">
        <v>65</v>
      </c>
      <c r="K34">
        <f t="shared" si="2"/>
        <v>25</v>
      </c>
    </row>
    <row r="35" spans="1:11" x14ac:dyDescent="0.25">
      <c r="A35" s="16" t="s">
        <v>85</v>
      </c>
      <c r="B35" s="14">
        <v>3</v>
      </c>
      <c r="C35" s="14">
        <v>4</v>
      </c>
      <c r="D35" s="14">
        <v>5</v>
      </c>
      <c r="E35" s="14">
        <v>5</v>
      </c>
      <c r="F35" s="14">
        <v>34</v>
      </c>
      <c r="G35" s="14">
        <v>16</v>
      </c>
      <c r="H35" s="14">
        <v>3</v>
      </c>
      <c r="I35">
        <v>65</v>
      </c>
      <c r="K35">
        <f t="shared" si="2"/>
        <v>25</v>
      </c>
    </row>
    <row r="36" spans="1:11" x14ac:dyDescent="0.25">
      <c r="A36" s="16" t="s">
        <v>87</v>
      </c>
      <c r="B36" s="14">
        <v>3</v>
      </c>
      <c r="C36" s="14">
        <v>4</v>
      </c>
      <c r="D36" s="14">
        <v>5</v>
      </c>
      <c r="E36" s="14">
        <v>5</v>
      </c>
      <c r="F36" s="14">
        <v>36</v>
      </c>
      <c r="G36" s="14">
        <v>16</v>
      </c>
      <c r="H36" s="14">
        <v>3</v>
      </c>
      <c r="I36">
        <v>70</v>
      </c>
      <c r="K36">
        <f t="shared" si="2"/>
        <v>27</v>
      </c>
    </row>
    <row r="37" spans="1:11" x14ac:dyDescent="0.25">
      <c r="A37" s="16" t="s">
        <v>101</v>
      </c>
      <c r="B37" s="14">
        <v>5</v>
      </c>
      <c r="C37" s="14">
        <v>4</v>
      </c>
      <c r="D37" s="14">
        <v>6</v>
      </c>
      <c r="E37" s="14">
        <v>5</v>
      </c>
      <c r="F37" s="14">
        <v>36</v>
      </c>
      <c r="G37" s="14">
        <v>16</v>
      </c>
      <c r="H37" s="14">
        <v>4</v>
      </c>
      <c r="I37">
        <v>70</v>
      </c>
      <c r="K37">
        <f t="shared" si="2"/>
        <v>27</v>
      </c>
    </row>
    <row r="38" spans="1:11" x14ac:dyDescent="0.25">
      <c r="A38" s="16" t="s">
        <v>89</v>
      </c>
      <c r="B38" s="14">
        <v>3</v>
      </c>
      <c r="C38" s="14">
        <v>5</v>
      </c>
      <c r="D38" s="14">
        <v>3</v>
      </c>
      <c r="E38" s="14">
        <v>5</v>
      </c>
      <c r="F38" s="14">
        <v>37</v>
      </c>
      <c r="G38" s="14">
        <v>16</v>
      </c>
      <c r="H38" s="14">
        <v>2</v>
      </c>
      <c r="I38">
        <v>70</v>
      </c>
      <c r="K38">
        <f t="shared" si="2"/>
        <v>27</v>
      </c>
    </row>
    <row r="39" spans="1:11" x14ac:dyDescent="0.25">
      <c r="A39" s="16" t="s">
        <v>100</v>
      </c>
      <c r="B39" s="14">
        <v>3</v>
      </c>
      <c r="C39" s="14">
        <v>5</v>
      </c>
      <c r="D39" s="14">
        <v>6</v>
      </c>
      <c r="E39" s="14">
        <v>5</v>
      </c>
      <c r="F39" s="14">
        <v>39</v>
      </c>
      <c r="G39" s="14">
        <v>17</v>
      </c>
      <c r="H39" s="14">
        <v>4</v>
      </c>
      <c r="I39">
        <v>75</v>
      </c>
      <c r="K39">
        <f t="shared" si="2"/>
        <v>29</v>
      </c>
    </row>
    <row r="40" spans="1:11" x14ac:dyDescent="0.25">
      <c r="A40" s="16" t="s">
        <v>91</v>
      </c>
      <c r="B40" s="14">
        <v>4</v>
      </c>
      <c r="C40" s="14">
        <v>5</v>
      </c>
      <c r="D40" s="14">
        <v>5</v>
      </c>
      <c r="E40" s="14">
        <v>5</v>
      </c>
      <c r="F40" s="14">
        <v>41</v>
      </c>
      <c r="G40" s="14">
        <v>17</v>
      </c>
      <c r="H40" s="14">
        <v>3</v>
      </c>
      <c r="I40">
        <v>75</v>
      </c>
      <c r="K40">
        <f t="shared" si="2"/>
        <v>29</v>
      </c>
    </row>
    <row r="41" spans="1:11" x14ac:dyDescent="0.25">
      <c r="A41" s="16" t="s">
        <v>105</v>
      </c>
      <c r="B41" s="14">
        <v>3</v>
      </c>
      <c r="C41" s="14">
        <v>3</v>
      </c>
      <c r="D41" s="14">
        <v>5</v>
      </c>
      <c r="E41" s="14">
        <v>5</v>
      </c>
      <c r="F41" s="14">
        <v>39</v>
      </c>
      <c r="G41" s="14">
        <v>18</v>
      </c>
      <c r="H41" s="14">
        <v>3</v>
      </c>
      <c r="I41">
        <v>75</v>
      </c>
      <c r="K41">
        <f t="shared" si="2"/>
        <v>29</v>
      </c>
    </row>
    <row r="43" spans="1:11" x14ac:dyDescent="0.25">
      <c r="A43" s="13" t="s">
        <v>134</v>
      </c>
      <c r="B43" s="15" t="s">
        <v>135</v>
      </c>
      <c r="C43" s="15" t="s">
        <v>136</v>
      </c>
      <c r="D43" s="15" t="s">
        <v>137</v>
      </c>
      <c r="E43" s="15" t="s">
        <v>138</v>
      </c>
      <c r="F43" s="15" t="s">
        <v>4</v>
      </c>
      <c r="G43" s="15" t="s">
        <v>139</v>
      </c>
      <c r="H43" s="15" t="s">
        <v>140</v>
      </c>
    </row>
    <row r="44" spans="1:11" x14ac:dyDescent="0.25">
      <c r="A44" s="16" t="s">
        <v>93</v>
      </c>
      <c r="B44" s="14">
        <v>2</v>
      </c>
      <c r="C44" s="14">
        <v>4</v>
      </c>
      <c r="D44" s="14">
        <v>6</v>
      </c>
      <c r="E44" s="14">
        <v>6</v>
      </c>
      <c r="F44" s="14">
        <v>51</v>
      </c>
      <c r="G44" s="14">
        <v>22</v>
      </c>
      <c r="H44" s="14">
        <v>5</v>
      </c>
      <c r="I44">
        <v>80</v>
      </c>
      <c r="K44">
        <f t="shared" si="2"/>
        <v>31</v>
      </c>
    </row>
    <row r="45" spans="1:11" x14ac:dyDescent="0.25">
      <c r="A45" s="16" t="s">
        <v>109</v>
      </c>
      <c r="B45" s="14">
        <v>3</v>
      </c>
      <c r="C45" s="14">
        <v>3</v>
      </c>
      <c r="D45" s="14">
        <v>5</v>
      </c>
      <c r="E45" s="14">
        <v>6</v>
      </c>
      <c r="F45" s="14">
        <v>43</v>
      </c>
      <c r="G45" s="14">
        <v>20</v>
      </c>
      <c r="H45" s="14">
        <v>3</v>
      </c>
      <c r="I45">
        <v>80</v>
      </c>
      <c r="K45">
        <f t="shared" si="2"/>
        <v>31</v>
      </c>
    </row>
    <row r="46" spans="1:11" x14ac:dyDescent="0.25">
      <c r="A46" s="16" t="s">
        <v>121</v>
      </c>
      <c r="B46" s="14">
        <v>5</v>
      </c>
      <c r="C46" s="14">
        <v>3</v>
      </c>
      <c r="D46" s="14">
        <v>4</v>
      </c>
      <c r="E46" s="14">
        <v>6</v>
      </c>
      <c r="F46" s="14">
        <v>41</v>
      </c>
      <c r="G46" s="14">
        <v>19</v>
      </c>
      <c r="H46" s="14">
        <v>3</v>
      </c>
      <c r="I46">
        <v>80</v>
      </c>
      <c r="K46">
        <f t="shared" si="2"/>
        <v>31</v>
      </c>
    </row>
    <row r="47" spans="1:11" x14ac:dyDescent="0.25">
      <c r="A47" s="16" t="s">
        <v>95</v>
      </c>
      <c r="B47" s="14">
        <v>4</v>
      </c>
      <c r="C47" s="14">
        <v>4</v>
      </c>
      <c r="D47" s="14">
        <v>5</v>
      </c>
      <c r="E47" s="14">
        <v>6</v>
      </c>
      <c r="F47" s="14">
        <v>45</v>
      </c>
      <c r="G47" s="14">
        <v>20</v>
      </c>
      <c r="H47" s="14">
        <v>4</v>
      </c>
      <c r="I47">
        <v>85</v>
      </c>
      <c r="K47">
        <f t="shared" si="2"/>
        <v>33</v>
      </c>
    </row>
    <row r="48" spans="1:11" x14ac:dyDescent="0.25">
      <c r="A48" s="16" t="s">
        <v>107</v>
      </c>
      <c r="B48" s="14">
        <v>2</v>
      </c>
      <c r="C48" s="14">
        <v>3</v>
      </c>
      <c r="D48" s="14">
        <v>6</v>
      </c>
      <c r="E48" s="14">
        <v>6</v>
      </c>
      <c r="F48" s="14">
        <v>52</v>
      </c>
      <c r="G48" s="14">
        <v>23</v>
      </c>
      <c r="H48" s="14">
        <v>3</v>
      </c>
      <c r="I48">
        <v>85</v>
      </c>
      <c r="K48">
        <f t="shared" si="2"/>
        <v>33</v>
      </c>
    </row>
    <row r="49" spans="1:16" x14ac:dyDescent="0.25">
      <c r="A49" s="16" t="s">
        <v>111</v>
      </c>
      <c r="B49" s="14">
        <v>4</v>
      </c>
      <c r="C49" s="14">
        <v>4</v>
      </c>
      <c r="D49" s="14">
        <v>6</v>
      </c>
      <c r="E49" s="14">
        <v>6</v>
      </c>
      <c r="F49" s="14">
        <v>48</v>
      </c>
      <c r="G49" s="14">
        <v>22</v>
      </c>
      <c r="H49" s="14">
        <v>4</v>
      </c>
      <c r="I49">
        <v>90</v>
      </c>
      <c r="K49">
        <f t="shared" si="2"/>
        <v>35</v>
      </c>
    </row>
    <row r="50" spans="1:16" x14ac:dyDescent="0.25">
      <c r="A50" s="16" t="s">
        <v>123</v>
      </c>
      <c r="B50" s="14">
        <v>2</v>
      </c>
      <c r="C50" s="14">
        <v>5</v>
      </c>
      <c r="D50" s="14">
        <v>3</v>
      </c>
      <c r="E50" s="14">
        <v>6</v>
      </c>
      <c r="F50" s="14">
        <v>44</v>
      </c>
      <c r="G50" s="14">
        <v>21</v>
      </c>
      <c r="H50" s="14">
        <v>2</v>
      </c>
      <c r="I50">
        <v>90</v>
      </c>
      <c r="K50">
        <f t="shared" si="2"/>
        <v>35</v>
      </c>
    </row>
    <row r="51" spans="1:16" x14ac:dyDescent="0.25">
      <c r="A51" s="16" t="s">
        <v>113</v>
      </c>
      <c r="B51" s="14">
        <v>4</v>
      </c>
      <c r="C51" s="14">
        <v>2</v>
      </c>
      <c r="D51" s="14">
        <v>4</v>
      </c>
      <c r="E51" s="14">
        <v>6</v>
      </c>
      <c r="F51" s="14">
        <v>43</v>
      </c>
      <c r="G51" s="14">
        <v>22</v>
      </c>
      <c r="H51" s="14">
        <v>2</v>
      </c>
      <c r="I51">
        <v>95</v>
      </c>
      <c r="K51">
        <f t="shared" si="2"/>
        <v>37</v>
      </c>
    </row>
    <row r="52" spans="1:16" x14ac:dyDescent="0.25">
      <c r="A52" s="16" t="s">
        <v>115</v>
      </c>
      <c r="B52" s="14">
        <v>1</v>
      </c>
      <c r="C52" s="14">
        <v>4</v>
      </c>
      <c r="D52" s="14">
        <v>6</v>
      </c>
      <c r="E52" s="14">
        <v>6</v>
      </c>
      <c r="F52" s="14">
        <v>56</v>
      </c>
      <c r="G52" s="14">
        <v>24</v>
      </c>
      <c r="H52" s="14">
        <v>2</v>
      </c>
      <c r="I52">
        <v>100</v>
      </c>
      <c r="K52">
        <f t="shared" si="2"/>
        <v>39</v>
      </c>
    </row>
    <row r="53" spans="1:16" x14ac:dyDescent="0.25">
      <c r="A53" s="16" t="s">
        <v>117</v>
      </c>
      <c r="B53" s="14">
        <v>3</v>
      </c>
      <c r="C53" s="14">
        <v>4</v>
      </c>
      <c r="D53" s="14">
        <v>6</v>
      </c>
      <c r="E53" s="14">
        <v>6</v>
      </c>
      <c r="F53" s="14">
        <v>58</v>
      </c>
      <c r="G53" s="14">
        <v>25</v>
      </c>
      <c r="H53" s="14">
        <v>4</v>
      </c>
      <c r="I53">
        <v>100</v>
      </c>
      <c r="K53">
        <f t="shared" si="2"/>
        <v>39</v>
      </c>
    </row>
    <row r="54" spans="1:16" x14ac:dyDescent="0.25">
      <c r="A54" s="16" t="s">
        <v>118</v>
      </c>
      <c r="B54" s="14">
        <v>1</v>
      </c>
      <c r="C54" s="14">
        <v>5</v>
      </c>
      <c r="D54" s="14">
        <v>5</v>
      </c>
      <c r="E54" s="14">
        <v>6</v>
      </c>
      <c r="F54" s="14">
        <v>57</v>
      </c>
      <c r="G54" s="14">
        <v>24</v>
      </c>
      <c r="H54" s="14">
        <v>3</v>
      </c>
      <c r="I54">
        <v>100</v>
      </c>
      <c r="K54">
        <f t="shared" si="2"/>
        <v>39</v>
      </c>
    </row>
    <row r="55" spans="1:16" x14ac:dyDescent="0.25">
      <c r="A55" s="16" t="s">
        <v>119</v>
      </c>
      <c r="B55" s="14">
        <v>2</v>
      </c>
      <c r="C55" s="14">
        <v>4</v>
      </c>
      <c r="D55" s="14">
        <v>6</v>
      </c>
      <c r="E55" s="14">
        <v>6</v>
      </c>
      <c r="F55" s="14">
        <v>55</v>
      </c>
      <c r="G55" s="14">
        <v>24</v>
      </c>
      <c r="H55" s="14">
        <v>3</v>
      </c>
      <c r="I55">
        <v>100</v>
      </c>
      <c r="K55">
        <f t="shared" si="2"/>
        <v>39</v>
      </c>
    </row>
    <row r="63" spans="1:16" x14ac:dyDescent="0.25">
      <c r="F63" s="13"/>
      <c r="G63" s="13"/>
      <c r="J63" s="13"/>
    </row>
    <row r="64" spans="1:16" x14ac:dyDescent="0.25">
      <c r="F64" s="21"/>
      <c r="G64" s="21"/>
      <c r="J64" s="16"/>
      <c r="P64" s="13"/>
    </row>
    <row r="65" spans="6:16" x14ac:dyDescent="0.25">
      <c r="F65" s="21"/>
      <c r="G65" s="21"/>
      <c r="J65" s="16"/>
      <c r="P65" s="21"/>
    </row>
    <row r="66" spans="6:16" x14ac:dyDescent="0.25">
      <c r="F66" s="21"/>
      <c r="G66" s="21"/>
      <c r="J66" s="16"/>
      <c r="P66" s="21"/>
    </row>
    <row r="67" spans="6:16" x14ac:dyDescent="0.25">
      <c r="F67" s="21"/>
      <c r="G67" s="21"/>
      <c r="J67" s="16"/>
      <c r="P67" s="21"/>
    </row>
    <row r="68" spans="6:16" x14ac:dyDescent="0.25">
      <c r="F68" s="21"/>
      <c r="G68" s="21"/>
      <c r="J68" s="16"/>
      <c r="P68" s="21"/>
    </row>
    <row r="69" spans="6:16" x14ac:dyDescent="0.25">
      <c r="F69" s="21"/>
      <c r="G69" s="21"/>
      <c r="J69" s="16"/>
      <c r="P69" s="21"/>
    </row>
    <row r="70" spans="6:16" x14ac:dyDescent="0.25">
      <c r="F70" s="21"/>
      <c r="G70" s="21"/>
      <c r="J70" s="16"/>
      <c r="P70" s="21"/>
    </row>
    <row r="71" spans="6:16" x14ac:dyDescent="0.25">
      <c r="F71" s="21"/>
      <c r="G71" s="21"/>
      <c r="J71" s="16"/>
      <c r="P71" s="21"/>
    </row>
    <row r="72" spans="6:16" x14ac:dyDescent="0.25">
      <c r="F72" s="21"/>
      <c r="G72" s="21"/>
      <c r="J72" s="16"/>
      <c r="P72" s="21"/>
    </row>
    <row r="73" spans="6:16" x14ac:dyDescent="0.25">
      <c r="F73" s="21"/>
      <c r="G73" s="21"/>
      <c r="J73" s="16"/>
      <c r="P73" s="21"/>
    </row>
    <row r="74" spans="6:16" x14ac:dyDescent="0.25">
      <c r="F74" s="21"/>
      <c r="G74" s="21"/>
      <c r="J74" s="16"/>
      <c r="P74" s="21"/>
    </row>
    <row r="75" spans="6:16" x14ac:dyDescent="0.25">
      <c r="F75" s="21"/>
      <c r="G75" s="21"/>
      <c r="J75" s="16"/>
      <c r="P75" s="21"/>
    </row>
    <row r="76" spans="6:16" x14ac:dyDescent="0.25">
      <c r="F76" s="21"/>
      <c r="G76" s="21"/>
      <c r="J76" s="16"/>
      <c r="P76" s="21"/>
    </row>
    <row r="77" spans="6:16" x14ac:dyDescent="0.25">
      <c r="F77" s="21"/>
      <c r="G77" s="21"/>
      <c r="J77" s="16"/>
      <c r="P77" s="21"/>
    </row>
    <row r="78" spans="6:16" x14ac:dyDescent="0.25">
      <c r="F78" s="21"/>
      <c r="G78" s="21"/>
      <c r="J78" s="16"/>
      <c r="P78" s="21"/>
    </row>
    <row r="79" spans="6:16" x14ac:dyDescent="0.25">
      <c r="F79" s="21"/>
      <c r="G79" s="21"/>
      <c r="J79" s="16"/>
      <c r="P79" s="21"/>
    </row>
    <row r="80" spans="6:16" x14ac:dyDescent="0.25">
      <c r="F80" s="21"/>
      <c r="G80" s="21"/>
      <c r="J80" s="16"/>
      <c r="P80" s="21"/>
    </row>
    <row r="81" spans="16:16" x14ac:dyDescent="0.25">
      <c r="P8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Mechs</vt:lpstr>
      <vt:lpstr>Asset Modules</vt:lpstr>
      <vt:lpstr>Misc Tables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Cember, Ariel Frank</dc:creator>
  <cp:lastModifiedBy>Cember, Ariel Frank</cp:lastModifiedBy>
  <dcterms:created xsi:type="dcterms:W3CDTF">2026-05-13T19:39:05Z</dcterms:created>
  <dcterms:modified xsi:type="dcterms:W3CDTF">2026-05-15T17:17:56Z</dcterms:modified>
</cp:coreProperties>
</file>